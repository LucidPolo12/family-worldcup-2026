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Claude-dev\LUCID\FAMILY WC 2026\World Cup 2026 Family Challenge\"/>
    </mc:Choice>
  </mc:AlternateContent>
  <xr:revisionPtr revIDLastSave="0" documentId="13_ncr:1_{1366B35F-EDCD-41F6-8266-C644C2A677BE}" xr6:coauthVersionLast="47" xr6:coauthVersionMax="47" xr10:uidLastSave="{00000000-0000-0000-0000-000000000000}"/>
  <bookViews>
    <workbookView xWindow="-110" yWindow="-110" windowWidth="25820" windowHeight="15500" tabRatio="500" activeTab="1" xr2:uid="{00000000-000D-0000-FFFF-FFFF00000000}"/>
  </bookViews>
  <sheets>
    <sheet name="How to Use" sheetId="1" r:id="rId1"/>
    <sheet name="Match Predictions" sheetId="2" r:id="rId2"/>
    <sheet name="Schedule" sheetId="3" r:id="rId3"/>
    <sheet name="Tournament Picks" sheetId="4" r:id="rId4"/>
    <sheet name="Leaderboard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2" i="5" l="1"/>
  <c r="B12" i="5"/>
  <c r="I11" i="5"/>
  <c r="B11" i="5"/>
  <c r="I10" i="5"/>
  <c r="B10" i="5"/>
  <c r="I9" i="5"/>
  <c r="B9" i="5"/>
  <c r="I8" i="5"/>
  <c r="B8" i="5"/>
  <c r="I7" i="5"/>
  <c r="B7" i="5"/>
  <c r="I6" i="5"/>
  <c r="G6" i="5"/>
  <c r="F6" i="5"/>
  <c r="D6" i="5"/>
  <c r="B6" i="5"/>
  <c r="I5" i="5"/>
  <c r="G5" i="5"/>
  <c r="F5" i="5"/>
  <c r="D5" i="5"/>
  <c r="B5" i="5"/>
  <c r="I4" i="5"/>
  <c r="G4" i="5"/>
  <c r="F4" i="5"/>
  <c r="D4" i="5"/>
  <c r="B4" i="5"/>
  <c r="J17" i="4"/>
  <c r="I17" i="4"/>
  <c r="H17" i="4"/>
  <c r="A17" i="4"/>
  <c r="J16" i="4"/>
  <c r="I16" i="4"/>
  <c r="H16" i="4"/>
  <c r="A16" i="4"/>
  <c r="J15" i="4"/>
  <c r="I15" i="4"/>
  <c r="H15" i="4"/>
  <c r="A15" i="4"/>
  <c r="J14" i="4"/>
  <c r="I14" i="4"/>
  <c r="H14" i="4"/>
  <c r="A14" i="4"/>
  <c r="J13" i="4"/>
  <c r="I13" i="4"/>
  <c r="H13" i="4"/>
  <c r="A13" i="4"/>
  <c r="J12" i="4"/>
  <c r="I12" i="4"/>
  <c r="H12" i="4"/>
  <c r="A12" i="4"/>
  <c r="J11" i="4"/>
  <c r="I11" i="4"/>
  <c r="H11" i="4"/>
  <c r="A11" i="4"/>
  <c r="J10" i="4"/>
  <c r="I10" i="4"/>
  <c r="H10" i="4"/>
  <c r="A10" i="4"/>
  <c r="J9" i="4"/>
  <c r="I9" i="4"/>
  <c r="H9" i="4"/>
  <c r="A9" i="4"/>
  <c r="AI107" i="2"/>
  <c r="AF107" i="2"/>
  <c r="AC107" i="2"/>
  <c r="Z107" i="2"/>
  <c r="W107" i="2"/>
  <c r="T107" i="2"/>
  <c r="Q107" i="2"/>
  <c r="N107" i="2"/>
  <c r="K107" i="2"/>
  <c r="AI106" i="2"/>
  <c r="AF106" i="2"/>
  <c r="AC106" i="2"/>
  <c r="Z106" i="2"/>
  <c r="W106" i="2"/>
  <c r="T106" i="2"/>
  <c r="Q106" i="2"/>
  <c r="N106" i="2"/>
  <c r="K106" i="2"/>
  <c r="AI105" i="2"/>
  <c r="AF105" i="2"/>
  <c r="AC105" i="2"/>
  <c r="Z105" i="2"/>
  <c r="W105" i="2"/>
  <c r="T105" i="2"/>
  <c r="Q105" i="2"/>
  <c r="N105" i="2"/>
  <c r="K105" i="2"/>
  <c r="AI104" i="2"/>
  <c r="AF104" i="2"/>
  <c r="AC104" i="2"/>
  <c r="Z104" i="2"/>
  <c r="W104" i="2"/>
  <c r="T104" i="2"/>
  <c r="Q104" i="2"/>
  <c r="N104" i="2"/>
  <c r="K104" i="2"/>
  <c r="AI103" i="2"/>
  <c r="AF103" i="2"/>
  <c r="AC103" i="2"/>
  <c r="Z103" i="2"/>
  <c r="W103" i="2"/>
  <c r="T103" i="2"/>
  <c r="Q103" i="2"/>
  <c r="N103" i="2"/>
  <c r="K103" i="2"/>
  <c r="AI102" i="2"/>
  <c r="AF102" i="2"/>
  <c r="AC102" i="2"/>
  <c r="Z102" i="2"/>
  <c r="W102" i="2"/>
  <c r="T102" i="2"/>
  <c r="Q102" i="2"/>
  <c r="N102" i="2"/>
  <c r="K102" i="2"/>
  <c r="AI101" i="2"/>
  <c r="AF101" i="2"/>
  <c r="AC101" i="2"/>
  <c r="Z101" i="2"/>
  <c r="W101" i="2"/>
  <c r="T101" i="2"/>
  <c r="Q101" i="2"/>
  <c r="N101" i="2"/>
  <c r="K101" i="2"/>
  <c r="AI100" i="2"/>
  <c r="AF100" i="2"/>
  <c r="AC100" i="2"/>
  <c r="Z100" i="2"/>
  <c r="W100" i="2"/>
  <c r="T100" i="2"/>
  <c r="Q100" i="2"/>
  <c r="N100" i="2"/>
  <c r="K100" i="2"/>
  <c r="AI99" i="2"/>
  <c r="AF99" i="2"/>
  <c r="AC99" i="2"/>
  <c r="Z99" i="2"/>
  <c r="W99" i="2"/>
  <c r="T99" i="2"/>
  <c r="Q99" i="2"/>
  <c r="N99" i="2"/>
  <c r="K99" i="2"/>
  <c r="AI98" i="2"/>
  <c r="AF98" i="2"/>
  <c r="AC98" i="2"/>
  <c r="Z98" i="2"/>
  <c r="W98" i="2"/>
  <c r="T98" i="2"/>
  <c r="Q98" i="2"/>
  <c r="N98" i="2"/>
  <c r="K98" i="2"/>
  <c r="AI97" i="2"/>
  <c r="AF97" i="2"/>
  <c r="AC97" i="2"/>
  <c r="Z97" i="2"/>
  <c r="W97" i="2"/>
  <c r="T97" i="2"/>
  <c r="Q97" i="2"/>
  <c r="N97" i="2"/>
  <c r="K97" i="2"/>
  <c r="AI96" i="2"/>
  <c r="AF96" i="2"/>
  <c r="AC96" i="2"/>
  <c r="Z96" i="2"/>
  <c r="W96" i="2"/>
  <c r="T96" i="2"/>
  <c r="Q96" i="2"/>
  <c r="N96" i="2"/>
  <c r="K96" i="2"/>
  <c r="AI95" i="2"/>
  <c r="AF95" i="2"/>
  <c r="AC95" i="2"/>
  <c r="Z95" i="2"/>
  <c r="W95" i="2"/>
  <c r="T95" i="2"/>
  <c r="Q95" i="2"/>
  <c r="N95" i="2"/>
  <c r="K95" i="2"/>
  <c r="AI94" i="2"/>
  <c r="AF94" i="2"/>
  <c r="AC94" i="2"/>
  <c r="Z94" i="2"/>
  <c r="W94" i="2"/>
  <c r="T94" i="2"/>
  <c r="Q94" i="2"/>
  <c r="N94" i="2"/>
  <c r="K94" i="2"/>
  <c r="AI93" i="2"/>
  <c r="AF93" i="2"/>
  <c r="AC93" i="2"/>
  <c r="Z93" i="2"/>
  <c r="W93" i="2"/>
  <c r="T93" i="2"/>
  <c r="Q93" i="2"/>
  <c r="N93" i="2"/>
  <c r="K93" i="2"/>
  <c r="AI92" i="2"/>
  <c r="AF92" i="2"/>
  <c r="AC92" i="2"/>
  <c r="Z92" i="2"/>
  <c r="W92" i="2"/>
  <c r="T92" i="2"/>
  <c r="Q92" i="2"/>
  <c r="N92" i="2"/>
  <c r="K92" i="2"/>
  <c r="AI91" i="2"/>
  <c r="AF91" i="2"/>
  <c r="AC91" i="2"/>
  <c r="Z91" i="2"/>
  <c r="W91" i="2"/>
  <c r="T91" i="2"/>
  <c r="Q91" i="2"/>
  <c r="N91" i="2"/>
  <c r="K91" i="2"/>
  <c r="AI90" i="2"/>
  <c r="AF90" i="2"/>
  <c r="AC90" i="2"/>
  <c r="Z90" i="2"/>
  <c r="W90" i="2"/>
  <c r="T90" i="2"/>
  <c r="Q90" i="2"/>
  <c r="N90" i="2"/>
  <c r="K90" i="2"/>
  <c r="AI89" i="2"/>
  <c r="AF89" i="2"/>
  <c r="AC89" i="2"/>
  <c r="Z89" i="2"/>
  <c r="W89" i="2"/>
  <c r="T89" i="2"/>
  <c r="Q89" i="2"/>
  <c r="N89" i="2"/>
  <c r="K89" i="2"/>
  <c r="AI88" i="2"/>
  <c r="AF88" i="2"/>
  <c r="AC88" i="2"/>
  <c r="Z88" i="2"/>
  <c r="W88" i="2"/>
  <c r="T88" i="2"/>
  <c r="Q88" i="2"/>
  <c r="N88" i="2"/>
  <c r="K88" i="2"/>
  <c r="AI87" i="2"/>
  <c r="AF87" i="2"/>
  <c r="AC87" i="2"/>
  <c r="Z87" i="2"/>
  <c r="W87" i="2"/>
  <c r="T87" i="2"/>
  <c r="Q87" i="2"/>
  <c r="N87" i="2"/>
  <c r="K87" i="2"/>
  <c r="AI86" i="2"/>
  <c r="AF86" i="2"/>
  <c r="AC86" i="2"/>
  <c r="Z86" i="2"/>
  <c r="W86" i="2"/>
  <c r="T86" i="2"/>
  <c r="Q86" i="2"/>
  <c r="N86" i="2"/>
  <c r="K86" i="2"/>
  <c r="AI85" i="2"/>
  <c r="AF85" i="2"/>
  <c r="AC85" i="2"/>
  <c r="Z85" i="2"/>
  <c r="W85" i="2"/>
  <c r="T85" i="2"/>
  <c r="Q85" i="2"/>
  <c r="N85" i="2"/>
  <c r="K85" i="2"/>
  <c r="AI84" i="2"/>
  <c r="AF84" i="2"/>
  <c r="AC84" i="2"/>
  <c r="Z84" i="2"/>
  <c r="W84" i="2"/>
  <c r="T84" i="2"/>
  <c r="Q84" i="2"/>
  <c r="N84" i="2"/>
  <c r="K84" i="2"/>
  <c r="AI83" i="2"/>
  <c r="AF83" i="2"/>
  <c r="AC83" i="2"/>
  <c r="Z83" i="2"/>
  <c r="W83" i="2"/>
  <c r="T83" i="2"/>
  <c r="Q83" i="2"/>
  <c r="N83" i="2"/>
  <c r="K83" i="2"/>
  <c r="AI82" i="2"/>
  <c r="AF82" i="2"/>
  <c r="AC82" i="2"/>
  <c r="Z82" i="2"/>
  <c r="W82" i="2"/>
  <c r="T82" i="2"/>
  <c r="Q82" i="2"/>
  <c r="N82" i="2"/>
  <c r="K82" i="2"/>
  <c r="AI81" i="2"/>
  <c r="AF81" i="2"/>
  <c r="AC81" i="2"/>
  <c r="Z81" i="2"/>
  <c r="W81" i="2"/>
  <c r="T81" i="2"/>
  <c r="Q81" i="2"/>
  <c r="N81" i="2"/>
  <c r="K81" i="2"/>
  <c r="AI80" i="2"/>
  <c r="AF80" i="2"/>
  <c r="AC80" i="2"/>
  <c r="Z80" i="2"/>
  <c r="W80" i="2"/>
  <c r="T80" i="2"/>
  <c r="Q80" i="2"/>
  <c r="N80" i="2"/>
  <c r="K80" i="2"/>
  <c r="AI79" i="2"/>
  <c r="AF79" i="2"/>
  <c r="AC79" i="2"/>
  <c r="Z79" i="2"/>
  <c r="W79" i="2"/>
  <c r="T79" i="2"/>
  <c r="Q79" i="2"/>
  <c r="N79" i="2"/>
  <c r="K79" i="2"/>
  <c r="AI78" i="2"/>
  <c r="AF78" i="2"/>
  <c r="AC78" i="2"/>
  <c r="Z78" i="2"/>
  <c r="W78" i="2"/>
  <c r="T78" i="2"/>
  <c r="Q78" i="2"/>
  <c r="N78" i="2"/>
  <c r="K78" i="2"/>
  <c r="AI77" i="2"/>
  <c r="AF77" i="2"/>
  <c r="AC77" i="2"/>
  <c r="Z77" i="2"/>
  <c r="W77" i="2"/>
  <c r="T77" i="2"/>
  <c r="Q77" i="2"/>
  <c r="N77" i="2"/>
  <c r="K77" i="2"/>
  <c r="AI76" i="2"/>
  <c r="AF76" i="2"/>
  <c r="AC76" i="2"/>
  <c r="Z76" i="2"/>
  <c r="W76" i="2"/>
  <c r="T76" i="2"/>
  <c r="Q76" i="2"/>
  <c r="N76" i="2"/>
  <c r="K76" i="2"/>
  <c r="AI75" i="2"/>
  <c r="AF75" i="2"/>
  <c r="AC75" i="2"/>
  <c r="Z75" i="2"/>
  <c r="W75" i="2"/>
  <c r="T75" i="2"/>
  <c r="Q75" i="2"/>
  <c r="N75" i="2"/>
  <c r="K75" i="2"/>
  <c r="AI74" i="2"/>
  <c r="AF74" i="2"/>
  <c r="AC74" i="2"/>
  <c r="Z74" i="2"/>
  <c r="W74" i="2"/>
  <c r="T74" i="2"/>
  <c r="Q74" i="2"/>
  <c r="N74" i="2"/>
  <c r="K74" i="2"/>
  <c r="AI73" i="2"/>
  <c r="AF73" i="2"/>
  <c r="AC73" i="2"/>
  <c r="Z73" i="2"/>
  <c r="W73" i="2"/>
  <c r="T73" i="2"/>
  <c r="Q73" i="2"/>
  <c r="N73" i="2"/>
  <c r="K73" i="2"/>
  <c r="AI72" i="2"/>
  <c r="AF72" i="2"/>
  <c r="AC72" i="2"/>
  <c r="Z72" i="2"/>
  <c r="W72" i="2"/>
  <c r="T72" i="2"/>
  <c r="Q72" i="2"/>
  <c r="N72" i="2"/>
  <c r="K72" i="2"/>
  <c r="AI71" i="2"/>
  <c r="AF71" i="2"/>
  <c r="AC71" i="2"/>
  <c r="Z71" i="2"/>
  <c r="W71" i="2"/>
  <c r="T71" i="2"/>
  <c r="Q71" i="2"/>
  <c r="N71" i="2"/>
  <c r="K71" i="2"/>
  <c r="AI70" i="2"/>
  <c r="AF70" i="2"/>
  <c r="AC70" i="2"/>
  <c r="Z70" i="2"/>
  <c r="W70" i="2"/>
  <c r="T70" i="2"/>
  <c r="Q70" i="2"/>
  <c r="N70" i="2"/>
  <c r="K70" i="2"/>
  <c r="AI69" i="2"/>
  <c r="AF69" i="2"/>
  <c r="AC69" i="2"/>
  <c r="Z69" i="2"/>
  <c r="W69" i="2"/>
  <c r="T69" i="2"/>
  <c r="Q69" i="2"/>
  <c r="N69" i="2"/>
  <c r="K69" i="2"/>
  <c r="AI68" i="2"/>
  <c r="AF68" i="2"/>
  <c r="AC68" i="2"/>
  <c r="Z68" i="2"/>
  <c r="W68" i="2"/>
  <c r="T68" i="2"/>
  <c r="Q68" i="2"/>
  <c r="N68" i="2"/>
  <c r="K68" i="2"/>
  <c r="AI67" i="2"/>
  <c r="AF67" i="2"/>
  <c r="AC67" i="2"/>
  <c r="Z67" i="2"/>
  <c r="W67" i="2"/>
  <c r="T67" i="2"/>
  <c r="Q67" i="2"/>
  <c r="N67" i="2"/>
  <c r="K67" i="2"/>
  <c r="AI66" i="2"/>
  <c r="AF66" i="2"/>
  <c r="AC66" i="2"/>
  <c r="Z66" i="2"/>
  <c r="W66" i="2"/>
  <c r="T66" i="2"/>
  <c r="Q66" i="2"/>
  <c r="N66" i="2"/>
  <c r="K66" i="2"/>
  <c r="AI65" i="2"/>
  <c r="AF65" i="2"/>
  <c r="AC65" i="2"/>
  <c r="Z65" i="2"/>
  <c r="W65" i="2"/>
  <c r="T65" i="2"/>
  <c r="Q65" i="2"/>
  <c r="N65" i="2"/>
  <c r="K65" i="2"/>
  <c r="AI64" i="2"/>
  <c r="AF64" i="2"/>
  <c r="AC64" i="2"/>
  <c r="Z64" i="2"/>
  <c r="W64" i="2"/>
  <c r="T64" i="2"/>
  <c r="Q64" i="2"/>
  <c r="N64" i="2"/>
  <c r="K64" i="2"/>
  <c r="AI63" i="2"/>
  <c r="AF63" i="2"/>
  <c r="AC63" i="2"/>
  <c r="Z63" i="2"/>
  <c r="W63" i="2"/>
  <c r="T63" i="2"/>
  <c r="Q63" i="2"/>
  <c r="N63" i="2"/>
  <c r="K63" i="2"/>
  <c r="AI62" i="2"/>
  <c r="AF62" i="2"/>
  <c r="AC62" i="2"/>
  <c r="Z62" i="2"/>
  <c r="W62" i="2"/>
  <c r="T62" i="2"/>
  <c r="Q62" i="2"/>
  <c r="N62" i="2"/>
  <c r="K62" i="2"/>
  <c r="AI61" i="2"/>
  <c r="AF61" i="2"/>
  <c r="AC61" i="2"/>
  <c r="Z61" i="2"/>
  <c r="W61" i="2"/>
  <c r="T61" i="2"/>
  <c r="Q61" i="2"/>
  <c r="N61" i="2"/>
  <c r="K61" i="2"/>
  <c r="AI60" i="2"/>
  <c r="AF60" i="2"/>
  <c r="AC60" i="2"/>
  <c r="Z60" i="2"/>
  <c r="W60" i="2"/>
  <c r="T60" i="2"/>
  <c r="Q60" i="2"/>
  <c r="N60" i="2"/>
  <c r="K60" i="2"/>
  <c r="AI59" i="2"/>
  <c r="AF59" i="2"/>
  <c r="AC59" i="2"/>
  <c r="Z59" i="2"/>
  <c r="W59" i="2"/>
  <c r="T59" i="2"/>
  <c r="Q59" i="2"/>
  <c r="N59" i="2"/>
  <c r="K59" i="2"/>
  <c r="AI58" i="2"/>
  <c r="AF58" i="2"/>
  <c r="AC58" i="2"/>
  <c r="Z58" i="2"/>
  <c r="W58" i="2"/>
  <c r="T58" i="2"/>
  <c r="Q58" i="2"/>
  <c r="N58" i="2"/>
  <c r="K58" i="2"/>
  <c r="AI57" i="2"/>
  <c r="AF57" i="2"/>
  <c r="AC57" i="2"/>
  <c r="Z57" i="2"/>
  <c r="W57" i="2"/>
  <c r="T57" i="2"/>
  <c r="Q57" i="2"/>
  <c r="N57" i="2"/>
  <c r="K57" i="2"/>
  <c r="AI56" i="2"/>
  <c r="AF56" i="2"/>
  <c r="AC56" i="2"/>
  <c r="Z56" i="2"/>
  <c r="W56" i="2"/>
  <c r="T56" i="2"/>
  <c r="Q56" i="2"/>
  <c r="N56" i="2"/>
  <c r="K56" i="2"/>
  <c r="AI55" i="2"/>
  <c r="AF55" i="2"/>
  <c r="AC55" i="2"/>
  <c r="Z55" i="2"/>
  <c r="W55" i="2"/>
  <c r="T55" i="2"/>
  <c r="Q55" i="2"/>
  <c r="N55" i="2"/>
  <c r="K55" i="2"/>
  <c r="AI54" i="2"/>
  <c r="AF54" i="2"/>
  <c r="AC54" i="2"/>
  <c r="Z54" i="2"/>
  <c r="W54" i="2"/>
  <c r="T54" i="2"/>
  <c r="Q54" i="2"/>
  <c r="N54" i="2"/>
  <c r="K54" i="2"/>
  <c r="AI53" i="2"/>
  <c r="AF53" i="2"/>
  <c r="AC53" i="2"/>
  <c r="Z53" i="2"/>
  <c r="W53" i="2"/>
  <c r="T53" i="2"/>
  <c r="Q53" i="2"/>
  <c r="N53" i="2"/>
  <c r="K53" i="2"/>
  <c r="AI52" i="2"/>
  <c r="AF52" i="2"/>
  <c r="AC52" i="2"/>
  <c r="Z52" i="2"/>
  <c r="W52" i="2"/>
  <c r="T52" i="2"/>
  <c r="Q52" i="2"/>
  <c r="N52" i="2"/>
  <c r="K52" i="2"/>
  <c r="AI51" i="2"/>
  <c r="AF51" i="2"/>
  <c r="AC51" i="2"/>
  <c r="Z51" i="2"/>
  <c r="W51" i="2"/>
  <c r="T51" i="2"/>
  <c r="Q51" i="2"/>
  <c r="N51" i="2"/>
  <c r="K51" i="2"/>
  <c r="AI50" i="2"/>
  <c r="AF50" i="2"/>
  <c r="AC50" i="2"/>
  <c r="Z50" i="2"/>
  <c r="W50" i="2"/>
  <c r="T50" i="2"/>
  <c r="Q50" i="2"/>
  <c r="N50" i="2"/>
  <c r="K50" i="2"/>
  <c r="AI49" i="2"/>
  <c r="AF49" i="2"/>
  <c r="AC49" i="2"/>
  <c r="Z49" i="2"/>
  <c r="W49" i="2"/>
  <c r="T49" i="2"/>
  <c r="Q49" i="2"/>
  <c r="N49" i="2"/>
  <c r="K49" i="2"/>
  <c r="AI48" i="2"/>
  <c r="AF48" i="2"/>
  <c r="AC48" i="2"/>
  <c r="Z48" i="2"/>
  <c r="W48" i="2"/>
  <c r="T48" i="2"/>
  <c r="Q48" i="2"/>
  <c r="N48" i="2"/>
  <c r="K48" i="2"/>
  <c r="AI47" i="2"/>
  <c r="AF47" i="2"/>
  <c r="AC47" i="2"/>
  <c r="Z47" i="2"/>
  <c r="W47" i="2"/>
  <c r="T47" i="2"/>
  <c r="Q47" i="2"/>
  <c r="N47" i="2"/>
  <c r="K47" i="2"/>
  <c r="AI46" i="2"/>
  <c r="AF46" i="2"/>
  <c r="AC46" i="2"/>
  <c r="Z46" i="2"/>
  <c r="W46" i="2"/>
  <c r="T46" i="2"/>
  <c r="Q46" i="2"/>
  <c r="N46" i="2"/>
  <c r="K46" i="2"/>
  <c r="AI45" i="2"/>
  <c r="AF45" i="2"/>
  <c r="AC45" i="2"/>
  <c r="Z45" i="2"/>
  <c r="W45" i="2"/>
  <c r="T45" i="2"/>
  <c r="Q45" i="2"/>
  <c r="N45" i="2"/>
  <c r="K45" i="2"/>
  <c r="AI44" i="2"/>
  <c r="AF44" i="2"/>
  <c r="AC44" i="2"/>
  <c r="Z44" i="2"/>
  <c r="W44" i="2"/>
  <c r="T44" i="2"/>
  <c r="Q44" i="2"/>
  <c r="N44" i="2"/>
  <c r="K44" i="2"/>
  <c r="AI43" i="2"/>
  <c r="AF43" i="2"/>
  <c r="AC43" i="2"/>
  <c r="Z43" i="2"/>
  <c r="W43" i="2"/>
  <c r="T43" i="2"/>
  <c r="Q43" i="2"/>
  <c r="N43" i="2"/>
  <c r="K43" i="2"/>
  <c r="AI42" i="2"/>
  <c r="AF42" i="2"/>
  <c r="AC42" i="2"/>
  <c r="Z42" i="2"/>
  <c r="W42" i="2"/>
  <c r="T42" i="2"/>
  <c r="Q42" i="2"/>
  <c r="N42" i="2"/>
  <c r="K42" i="2"/>
  <c r="AI41" i="2"/>
  <c r="AF41" i="2"/>
  <c r="AC41" i="2"/>
  <c r="Z41" i="2"/>
  <c r="W41" i="2"/>
  <c r="T41" i="2"/>
  <c r="Q41" i="2"/>
  <c r="N41" i="2"/>
  <c r="K41" i="2"/>
  <c r="AI40" i="2"/>
  <c r="AF40" i="2"/>
  <c r="AC40" i="2"/>
  <c r="Z40" i="2"/>
  <c r="W40" i="2"/>
  <c r="T40" i="2"/>
  <c r="Q40" i="2"/>
  <c r="N40" i="2"/>
  <c r="K40" i="2"/>
  <c r="AI39" i="2"/>
  <c r="AF39" i="2"/>
  <c r="AC39" i="2"/>
  <c r="Z39" i="2"/>
  <c r="W39" i="2"/>
  <c r="T39" i="2"/>
  <c r="Q39" i="2"/>
  <c r="N39" i="2"/>
  <c r="K39" i="2"/>
  <c r="AI38" i="2"/>
  <c r="AF38" i="2"/>
  <c r="AC38" i="2"/>
  <c r="Z38" i="2"/>
  <c r="W38" i="2"/>
  <c r="T38" i="2"/>
  <c r="Q38" i="2"/>
  <c r="N38" i="2"/>
  <c r="K38" i="2"/>
  <c r="AI37" i="2"/>
  <c r="AF37" i="2"/>
  <c r="AC37" i="2"/>
  <c r="Z37" i="2"/>
  <c r="W37" i="2"/>
  <c r="T37" i="2"/>
  <c r="Q37" i="2"/>
  <c r="N37" i="2"/>
  <c r="K37" i="2"/>
  <c r="AI36" i="2"/>
  <c r="AF36" i="2"/>
  <c r="AC36" i="2"/>
  <c r="Z36" i="2"/>
  <c r="W36" i="2"/>
  <c r="T36" i="2"/>
  <c r="Q36" i="2"/>
  <c r="N36" i="2"/>
  <c r="K36" i="2"/>
  <c r="AI35" i="2"/>
  <c r="AF35" i="2"/>
  <c r="AC35" i="2"/>
  <c r="Z35" i="2"/>
  <c r="W35" i="2"/>
  <c r="T35" i="2"/>
  <c r="Q35" i="2"/>
  <c r="N35" i="2"/>
  <c r="K35" i="2"/>
  <c r="AI34" i="2"/>
  <c r="AF34" i="2"/>
  <c r="AC34" i="2"/>
  <c r="Z34" i="2"/>
  <c r="W34" i="2"/>
  <c r="T34" i="2"/>
  <c r="Q34" i="2"/>
  <c r="N34" i="2"/>
  <c r="K34" i="2"/>
  <c r="AI33" i="2"/>
  <c r="AF33" i="2"/>
  <c r="AC33" i="2"/>
  <c r="Z33" i="2"/>
  <c r="W33" i="2"/>
  <c r="T33" i="2"/>
  <c r="Q33" i="2"/>
  <c r="N33" i="2"/>
  <c r="K33" i="2"/>
  <c r="AI32" i="2"/>
  <c r="AF32" i="2"/>
  <c r="AC32" i="2"/>
  <c r="Z32" i="2"/>
  <c r="W32" i="2"/>
  <c r="T32" i="2"/>
  <c r="Q32" i="2"/>
  <c r="N32" i="2"/>
  <c r="K32" i="2"/>
  <c r="AI31" i="2"/>
  <c r="AF31" i="2"/>
  <c r="AC31" i="2"/>
  <c r="Z31" i="2"/>
  <c r="W31" i="2"/>
  <c r="T31" i="2"/>
  <c r="Q31" i="2"/>
  <c r="N31" i="2"/>
  <c r="K31" i="2"/>
  <c r="AI30" i="2"/>
  <c r="AF30" i="2"/>
  <c r="AC30" i="2"/>
  <c r="Z30" i="2"/>
  <c r="W30" i="2"/>
  <c r="T30" i="2"/>
  <c r="Q30" i="2"/>
  <c r="N30" i="2"/>
  <c r="K30" i="2"/>
  <c r="AI29" i="2"/>
  <c r="AF29" i="2"/>
  <c r="AC29" i="2"/>
  <c r="Z29" i="2"/>
  <c r="W29" i="2"/>
  <c r="T29" i="2"/>
  <c r="Q29" i="2"/>
  <c r="N29" i="2"/>
  <c r="K29" i="2"/>
  <c r="AI28" i="2"/>
  <c r="AF28" i="2"/>
  <c r="AC28" i="2"/>
  <c r="Z28" i="2"/>
  <c r="W28" i="2"/>
  <c r="T28" i="2"/>
  <c r="Q28" i="2"/>
  <c r="N28" i="2"/>
  <c r="K28" i="2"/>
  <c r="AI27" i="2"/>
  <c r="AF27" i="2"/>
  <c r="AC27" i="2"/>
  <c r="Z27" i="2"/>
  <c r="W27" i="2"/>
  <c r="T27" i="2"/>
  <c r="Q27" i="2"/>
  <c r="N27" i="2"/>
  <c r="K27" i="2"/>
  <c r="AI26" i="2"/>
  <c r="AF26" i="2"/>
  <c r="AC26" i="2"/>
  <c r="Z26" i="2"/>
  <c r="W26" i="2"/>
  <c r="T26" i="2"/>
  <c r="Q26" i="2"/>
  <c r="N26" i="2"/>
  <c r="K26" i="2"/>
  <c r="AI25" i="2"/>
  <c r="AF25" i="2"/>
  <c r="AC25" i="2"/>
  <c r="Z25" i="2"/>
  <c r="W25" i="2"/>
  <c r="T25" i="2"/>
  <c r="Q25" i="2"/>
  <c r="N25" i="2"/>
  <c r="K25" i="2"/>
  <c r="AI24" i="2"/>
  <c r="AF24" i="2"/>
  <c r="AC24" i="2"/>
  <c r="Z24" i="2"/>
  <c r="W24" i="2"/>
  <c r="T24" i="2"/>
  <c r="Q24" i="2"/>
  <c r="N24" i="2"/>
  <c r="K24" i="2"/>
  <c r="AI23" i="2"/>
  <c r="AF23" i="2"/>
  <c r="AC23" i="2"/>
  <c r="Z23" i="2"/>
  <c r="W23" i="2"/>
  <c r="T23" i="2"/>
  <c r="Q23" i="2"/>
  <c r="N23" i="2"/>
  <c r="K23" i="2"/>
  <c r="AI22" i="2"/>
  <c r="AF22" i="2"/>
  <c r="AC22" i="2"/>
  <c r="Z22" i="2"/>
  <c r="W22" i="2"/>
  <c r="T22" i="2"/>
  <c r="Q22" i="2"/>
  <c r="N22" i="2"/>
  <c r="K22" i="2"/>
  <c r="AI21" i="2"/>
  <c r="AF21" i="2"/>
  <c r="AC21" i="2"/>
  <c r="Z21" i="2"/>
  <c r="W21" i="2"/>
  <c r="T21" i="2"/>
  <c r="Q21" i="2"/>
  <c r="N21" i="2"/>
  <c r="K21" i="2"/>
  <c r="AI20" i="2"/>
  <c r="AF20" i="2"/>
  <c r="AC20" i="2"/>
  <c r="Z20" i="2"/>
  <c r="W20" i="2"/>
  <c r="T20" i="2"/>
  <c r="Q20" i="2"/>
  <c r="N20" i="2"/>
  <c r="K20" i="2"/>
  <c r="AI19" i="2"/>
  <c r="AF19" i="2"/>
  <c r="AC19" i="2"/>
  <c r="Z19" i="2"/>
  <c r="W19" i="2"/>
  <c r="T19" i="2"/>
  <c r="Q19" i="2"/>
  <c r="N19" i="2"/>
  <c r="K19" i="2"/>
  <c r="AI18" i="2"/>
  <c r="AF18" i="2"/>
  <c r="AC18" i="2"/>
  <c r="Z18" i="2"/>
  <c r="W18" i="2"/>
  <c r="T18" i="2"/>
  <c r="Q18" i="2"/>
  <c r="N18" i="2"/>
  <c r="K18" i="2"/>
  <c r="AI17" i="2"/>
  <c r="AF17" i="2"/>
  <c r="AC17" i="2"/>
  <c r="Z17" i="2"/>
  <c r="W17" i="2"/>
  <c r="T17" i="2"/>
  <c r="Q17" i="2"/>
  <c r="N17" i="2"/>
  <c r="K17" i="2"/>
  <c r="AI16" i="2"/>
  <c r="AF16" i="2"/>
  <c r="AC16" i="2"/>
  <c r="Z16" i="2"/>
  <c r="W16" i="2"/>
  <c r="T16" i="2"/>
  <c r="Q16" i="2"/>
  <c r="N16" i="2"/>
  <c r="K16" i="2"/>
  <c r="AI15" i="2"/>
  <c r="AF15" i="2"/>
  <c r="AC15" i="2"/>
  <c r="Z15" i="2"/>
  <c r="W15" i="2"/>
  <c r="T15" i="2"/>
  <c r="Q15" i="2"/>
  <c r="N15" i="2"/>
  <c r="K15" i="2"/>
  <c r="AI14" i="2"/>
  <c r="AF14" i="2"/>
  <c r="AC14" i="2"/>
  <c r="Z14" i="2"/>
  <c r="W14" i="2"/>
  <c r="T14" i="2"/>
  <c r="Q14" i="2"/>
  <c r="N14" i="2"/>
  <c r="K14" i="2"/>
  <c r="AI13" i="2"/>
  <c r="AF13" i="2"/>
  <c r="AC13" i="2"/>
  <c r="Z13" i="2"/>
  <c r="W13" i="2"/>
  <c r="T13" i="2"/>
  <c r="Q13" i="2"/>
  <c r="N13" i="2"/>
  <c r="K13" i="2"/>
  <c r="AI12" i="2"/>
  <c r="AF12" i="2"/>
  <c r="AC12" i="2"/>
  <c r="Z12" i="2"/>
  <c r="W12" i="2"/>
  <c r="T12" i="2"/>
  <c r="Q12" i="2"/>
  <c r="N12" i="2"/>
  <c r="K12" i="2"/>
  <c r="AI11" i="2"/>
  <c r="AF11" i="2"/>
  <c r="AC11" i="2"/>
  <c r="Z11" i="2"/>
  <c r="W11" i="2"/>
  <c r="T11" i="2"/>
  <c r="Q11" i="2"/>
  <c r="N11" i="2"/>
  <c r="K11" i="2"/>
  <c r="AI10" i="2"/>
  <c r="AF10" i="2"/>
  <c r="AC10" i="2"/>
  <c r="Z10" i="2"/>
  <c r="W10" i="2"/>
  <c r="T10" i="2"/>
  <c r="Q10" i="2"/>
  <c r="N10" i="2"/>
  <c r="K10" i="2"/>
  <c r="AI9" i="2"/>
  <c r="AF9" i="2"/>
  <c r="AC9" i="2"/>
  <c r="Z9" i="2"/>
  <c r="W9" i="2"/>
  <c r="T9" i="2"/>
  <c r="Q9" i="2"/>
  <c r="N9" i="2"/>
  <c r="K9" i="2"/>
  <c r="AI8" i="2"/>
  <c r="AF8" i="2"/>
  <c r="AC8" i="2"/>
  <c r="Z8" i="2"/>
  <c r="W8" i="2"/>
  <c r="T8" i="2"/>
  <c r="Q8" i="2"/>
  <c r="N8" i="2"/>
  <c r="K8" i="2"/>
  <c r="AI7" i="2"/>
  <c r="AF7" i="2"/>
  <c r="AC7" i="2"/>
  <c r="Z7" i="2"/>
  <c r="W7" i="2"/>
  <c r="T7" i="2"/>
  <c r="Q7" i="2"/>
  <c r="N7" i="2"/>
  <c r="K7" i="2"/>
  <c r="AI6" i="2"/>
  <c r="AF6" i="2"/>
  <c r="AC6" i="2"/>
  <c r="Z6" i="2"/>
  <c r="W6" i="2"/>
  <c r="T6" i="2"/>
  <c r="Q6" i="2"/>
  <c r="N6" i="2"/>
  <c r="K6" i="2"/>
  <c r="AI5" i="2"/>
  <c r="AF5" i="2"/>
  <c r="AC5" i="2"/>
  <c r="Z5" i="2"/>
  <c r="W5" i="2"/>
  <c r="T5" i="2"/>
  <c r="Q5" i="2"/>
  <c r="N5" i="2"/>
  <c r="K5" i="2"/>
  <c r="AI4" i="2"/>
  <c r="AF4" i="2"/>
  <c r="AC4" i="2"/>
  <c r="Z4" i="2"/>
  <c r="W4" i="2"/>
  <c r="T4" i="2"/>
  <c r="Q4" i="2"/>
  <c r="N4" i="2"/>
  <c r="K4" i="2"/>
  <c r="K15" i="4" l="1"/>
  <c r="C10" i="5" s="1"/>
  <c r="E10" i="5" s="1"/>
  <c r="G10" i="5"/>
  <c r="H10" i="5" s="1"/>
  <c r="D7" i="5"/>
  <c r="H5" i="5"/>
  <c r="F8" i="5"/>
  <c r="H6" i="5"/>
  <c r="D12" i="5"/>
  <c r="K16" i="4"/>
  <c r="C11" i="5" s="1"/>
  <c r="E11" i="5" s="1"/>
  <c r="K13" i="4"/>
  <c r="C8" i="5" s="1"/>
  <c r="F10" i="5"/>
  <c r="K9" i="4"/>
  <c r="C4" i="5" s="1"/>
  <c r="E4" i="5" s="1"/>
  <c r="G11" i="5"/>
  <c r="H11" i="5" s="1"/>
  <c r="G8" i="5"/>
  <c r="H8" i="5" s="1"/>
  <c r="D9" i="5"/>
  <c r="K17" i="4"/>
  <c r="C12" i="5" s="1"/>
  <c r="D8" i="5"/>
  <c r="D11" i="5"/>
  <c r="K14" i="4"/>
  <c r="C9" i="5" s="1"/>
  <c r="K12" i="4"/>
  <c r="C7" i="5" s="1"/>
  <c r="K11" i="4"/>
  <c r="C6" i="5" s="1"/>
  <c r="E6" i="5" s="1"/>
  <c r="K10" i="4"/>
  <c r="C5" i="5" s="1"/>
  <c r="E5" i="5" s="1"/>
  <c r="G7" i="5"/>
  <c r="H7" i="5" s="1"/>
  <c r="H4" i="5"/>
  <c r="D10" i="5"/>
  <c r="G12" i="5"/>
  <c r="H12" i="5" s="1"/>
  <c r="G9" i="5"/>
  <c r="H9" i="5" s="1"/>
  <c r="F11" i="5"/>
  <c r="F12" i="5"/>
  <c r="F9" i="5"/>
  <c r="F7" i="5"/>
  <c r="E12" i="5" l="1"/>
  <c r="E9" i="5"/>
  <c r="E7" i="5"/>
  <c r="E8" i="5"/>
  <c r="A11" i="5" l="1"/>
  <c r="A10" i="5"/>
  <c r="A5" i="5"/>
  <c r="A4" i="5"/>
  <c r="A6" i="5"/>
  <c r="A7" i="5"/>
  <c r="A8" i="5"/>
  <c r="A12" i="5"/>
  <c r="A9" i="5"/>
</calcChain>
</file>

<file path=xl/sharedStrings.xml><?xml version="1.0" encoding="utf-8"?>
<sst xmlns="http://schemas.openxmlformats.org/spreadsheetml/2006/main" count="1085" uniqueCount="207">
  <si>
    <t>🏆  FAMILY WORLD CUP CHALLENGE 2026 — Scoring Sheet</t>
  </si>
  <si>
    <t>HOW THIS WORKS</t>
  </si>
  <si>
    <t>Picks come in through the family group chat — you just transcribe them here, and everything scores automatically.</t>
  </si>
  <si>
    <t>Yellow cells are the only ones you ever type in. Everything else is calculated.</t>
  </si>
  <si>
    <t>THE TABS</t>
  </si>
  <si>
    <t>1.  Match Predictions  —  all 104 fixtures are pre-loaded (date, stage, group, teams). Type each person’s</t>
  </si>
  <si>
    <t xml:space="preserve">      predicted score, then the actual final score in the two ACTUAL columns. Points fill in for everyone instantly.</t>
  </si>
  <si>
    <t>2.  Schedule  —  the full fixture list with venues and kickoff times (ET). Handy for the “make your picks” posts.</t>
  </si>
  <si>
    <t>3.  Tournament Picks  —  each person’s Champion / Runner-Up / 4 Semifinalists. Fill ACTUAL RESULTS up top</t>
  </si>
  <si>
    <t xml:space="preserve">      as the tournament reaches those stages.</t>
  </si>
  <si>
    <t>4.  Leaderboard  —  fully automatic: totals, ranking, exact-score count, accuracy. Glance and post to the chat.</t>
  </si>
  <si>
    <t>SCORING (per match)</t>
  </si>
  <si>
    <t>Correct result (winner or draw) = 3 points.   Exact score = 8 points (3 + 5 bonus).   Wrong = 0.</t>
  </si>
  <si>
    <t>A correct draw scores the same way: right outcome 1–1 vs actual 2–2 = 3; exact 1–1 = 8.</t>
  </si>
  <si>
    <t>Knockout rows are shaded. Enter the score at the end of regulation (90 + stoppage) — extra time / penalties don’t count.</t>
  </si>
  <si>
    <t>SCORING (pre-tournament)</t>
  </si>
  <si>
    <t>Champion = 25.   Runner-Up = 15.   Each correct Semifinalist = 10 (4 of them, max 40).   Max total = 80.</t>
  </si>
  <si>
    <t>Pre-tournament picks (Champion / Runner-Up / Semifinalists) stay OPEN through the group stage and LOCK at the first knockout kickoff — Round of 32, Sat Jun 28, 3:00 PM ET. After that they are final.</t>
  </si>
  <si>
    <t>NOTES</t>
  </si>
  <si>
    <t>Knockout fixtures show bracket slots (e.g. “Group A 2nd Place”) until the real teams are known — update the team</t>
  </si>
  <si>
    <t>names on the Match Predictions and Schedule tabs once each round is set.</t>
  </si>
  <si>
    <t>Rename or add players in the green name headers on Match Predictions; names flow to the other tabs automatically.</t>
  </si>
  <si>
    <t>🏆  MATCH PREDICTIONS  —  type each pick, then the actual score. Points are automatic.</t>
  </si>
  <si>
    <t>MATCH  ·  ACTUAL RESULT</t>
  </si>
  <si>
    <t>Ewan</t>
  </si>
  <si>
    <t>Nana</t>
  </si>
  <si>
    <t>Emrys</t>
  </si>
  <si>
    <t>Nonno</t>
  </si>
  <si>
    <t>Nonna</t>
  </si>
  <si>
    <t>Boompa</t>
  </si>
  <si>
    <t>Xavier</t>
  </si>
  <si>
    <t>Autumn</t>
  </si>
  <si>
    <t>River</t>
  </si>
  <si>
    <t>Match #</t>
  </si>
  <si>
    <t>Date</t>
  </si>
  <si>
    <t>Stage</t>
  </si>
  <si>
    <t>Group</t>
  </si>
  <si>
    <t>Home</t>
  </si>
  <si>
    <t>Away</t>
  </si>
  <si>
    <t>Act H</t>
  </si>
  <si>
    <t>Act A</t>
  </si>
  <si>
    <t>Pred H</t>
  </si>
  <si>
    <t>Pred A</t>
  </si>
  <si>
    <t>Pts</t>
  </si>
  <si>
    <t>Group Stage</t>
  </si>
  <si>
    <t>A</t>
  </si>
  <si>
    <t>Mexico</t>
  </si>
  <si>
    <t>South Africa</t>
  </si>
  <si>
    <t>South Korea</t>
  </si>
  <si>
    <t>Czechia</t>
  </si>
  <si>
    <t>B</t>
  </si>
  <si>
    <t>Canada</t>
  </si>
  <si>
    <t>Bosnia and Herzegovina</t>
  </si>
  <si>
    <t>D</t>
  </si>
  <si>
    <t>USA</t>
  </si>
  <si>
    <t>Paraguay</t>
  </si>
  <si>
    <t>Qatar</t>
  </si>
  <si>
    <t>Switzerland</t>
  </si>
  <si>
    <t>C</t>
  </si>
  <si>
    <t>Brazil</t>
  </si>
  <si>
    <t>Morocco</t>
  </si>
  <si>
    <t>Haiti</t>
  </si>
  <si>
    <t>Scotland</t>
  </si>
  <si>
    <t>Australia</t>
  </si>
  <si>
    <t>Türkiye</t>
  </si>
  <si>
    <t>E</t>
  </si>
  <si>
    <t>Germany</t>
  </si>
  <si>
    <t>Curaçao</t>
  </si>
  <si>
    <t>F</t>
  </si>
  <si>
    <t>Netherlands</t>
  </si>
  <si>
    <t>Japan</t>
  </si>
  <si>
    <t>Ivory Coast</t>
  </si>
  <si>
    <t>Ecuador</t>
  </si>
  <si>
    <t>Tunisia</t>
  </si>
  <si>
    <t>Sweden</t>
  </si>
  <si>
    <t>H</t>
  </si>
  <si>
    <t>Spain</t>
  </si>
  <si>
    <t>Cape Verde</t>
  </si>
  <si>
    <t>G</t>
  </si>
  <si>
    <t>Belgium</t>
  </si>
  <si>
    <t>Egypt</t>
  </si>
  <si>
    <t>Saudi Arabia</t>
  </si>
  <si>
    <t>Uruguay</t>
  </si>
  <si>
    <t>Iran</t>
  </si>
  <si>
    <t>New Zealand</t>
  </si>
  <si>
    <t>I</t>
  </si>
  <si>
    <t>France</t>
  </si>
  <si>
    <t>Senegal</t>
  </si>
  <si>
    <t>Iraq</t>
  </si>
  <si>
    <t>Norway</t>
  </si>
  <si>
    <t>J</t>
  </si>
  <si>
    <t>Argentina</t>
  </si>
  <si>
    <t>Algeria</t>
  </si>
  <si>
    <t>Austria</t>
  </si>
  <si>
    <t>Jordan</t>
  </si>
  <si>
    <t>K</t>
  </si>
  <si>
    <t>Portugal</t>
  </si>
  <si>
    <t>DR Congo</t>
  </si>
  <si>
    <t>L</t>
  </si>
  <si>
    <t>England</t>
  </si>
  <si>
    <t>Croatia</t>
  </si>
  <si>
    <t>Ghana</t>
  </si>
  <si>
    <t>Panama</t>
  </si>
  <si>
    <t>Uzbekistan</t>
  </si>
  <si>
    <t>Colombia</t>
  </si>
  <si>
    <t>Round of 32</t>
  </si>
  <si>
    <t>Group A 2nd Place</t>
  </si>
  <si>
    <t>Group B 2nd Place</t>
  </si>
  <si>
    <t>Group C Winner</t>
  </si>
  <si>
    <t>Group F 2nd Place</t>
  </si>
  <si>
    <t>Group E Winner</t>
  </si>
  <si>
    <t>Group A/B/C/D/F 3rd Place</t>
  </si>
  <si>
    <t>Group F Winner</t>
  </si>
  <si>
    <t>Group C 2nd Place</t>
  </si>
  <si>
    <t>Group E 2nd Place</t>
  </si>
  <si>
    <t>Group I 2nd Place</t>
  </si>
  <si>
    <t>Group I Winner</t>
  </si>
  <si>
    <t>Group C/D/F/G/H 3rd Place</t>
  </si>
  <si>
    <t>Group A Winner</t>
  </si>
  <si>
    <t>Group C/E/F/H/I 3rd Place</t>
  </si>
  <si>
    <t>Group L Winner</t>
  </si>
  <si>
    <t>Group E/H/I/J/K 3rd Place</t>
  </si>
  <si>
    <t>Group G Winner</t>
  </si>
  <si>
    <t>Group A/E/H/I/J 3rd Place</t>
  </si>
  <si>
    <t>Group D Winner</t>
  </si>
  <si>
    <t>Group B/E/F/I/J 3rd Place</t>
  </si>
  <si>
    <t>Group H Winner</t>
  </si>
  <si>
    <t>Group J 2nd Place</t>
  </si>
  <si>
    <t>Group K 2nd Place</t>
  </si>
  <si>
    <t>Group L 2nd Place</t>
  </si>
  <si>
    <t>Group B Winner</t>
  </si>
  <si>
    <t>Group D/E/I/J/L 3rd Place</t>
  </si>
  <si>
    <t>Group D 2nd Place</t>
  </si>
  <si>
    <t>Group G 2nd Place</t>
  </si>
  <si>
    <t>Group J Winner</t>
  </si>
  <si>
    <t>Group H 2nd Place</t>
  </si>
  <si>
    <t>Group K Winner</t>
  </si>
  <si>
    <t>Round of 16</t>
  </si>
  <si>
    <t>TBD</t>
  </si>
  <si>
    <t>Quarterfinal</t>
  </si>
  <si>
    <t>Semifinal</t>
  </si>
  <si>
    <t>Third Place</t>
  </si>
  <si>
    <t>Loser Match 101</t>
  </si>
  <si>
    <t>Loser Match 102</t>
  </si>
  <si>
    <t>Final</t>
  </si>
  <si>
    <t>Winner Match 101</t>
  </si>
  <si>
    <t>Winner Match 102</t>
  </si>
  <si>
    <t>📅  FULL SCHEDULE — all 104 fixtures (kickoff times in ET)</t>
  </si>
  <si>
    <t>Venue</t>
  </si>
  <si>
    <t>Kickoff (ET)</t>
  </si>
  <si>
    <t>Mexico City Stadium</t>
  </si>
  <si>
    <t>3:00 PM ET</t>
  </si>
  <si>
    <t>Guadalajara Stadium</t>
  </si>
  <si>
    <t>10:00 PM ET</t>
  </si>
  <si>
    <t>Toronto Stadium</t>
  </si>
  <si>
    <t>Los Angeles Stadium</t>
  </si>
  <si>
    <t>9:00 PM ET</t>
  </si>
  <si>
    <t>San Francisco Bay Stadium</t>
  </si>
  <si>
    <t>New York New Jersey Stadium</t>
  </si>
  <si>
    <t>6:00 PM ET</t>
  </si>
  <si>
    <t>Boston Stadium</t>
  </si>
  <si>
    <t>BC Place Vancouver</t>
  </si>
  <si>
    <t>12:00 AM ET</t>
  </si>
  <si>
    <t>Houston Stadium</t>
  </si>
  <si>
    <t>1:00 PM ET</t>
  </si>
  <si>
    <t>Dallas Stadium</t>
  </si>
  <si>
    <t>4:00 PM ET</t>
  </si>
  <si>
    <t>Philadelphia Stadium</t>
  </si>
  <si>
    <t>7:00 PM ET</t>
  </si>
  <si>
    <t>Monterrey Stadium</t>
  </si>
  <si>
    <t>Atlanta Stadium</t>
  </si>
  <si>
    <t>12:00 PM ET</t>
  </si>
  <si>
    <t>Seattle Stadium</t>
  </si>
  <si>
    <t>Miami Stadium</t>
  </si>
  <si>
    <t>Kansas City Stadium</t>
  </si>
  <si>
    <t>8:00 PM ET</t>
  </si>
  <si>
    <t>5:00 PM ET</t>
  </si>
  <si>
    <t>11:00 PM ET</t>
  </si>
  <si>
    <t>7:30 PM ET</t>
  </si>
  <si>
    <t>4:30 PM ET</t>
  </si>
  <si>
    <t>2:00 PM ET</t>
  </si>
  <si>
    <t>9:30 PM ET</t>
  </si>
  <si>
    <t>🏆  PRE-TOURNAMENT PICKS  —  Champion 25 · Runner-Up 15 · Semifinalists 10 each (max 80)</t>
  </si>
  <si>
    <t>ACTUAL RESULTS — fill in as each stage is reached:</t>
  </si>
  <si>
    <t>Champion</t>
  </si>
  <si>
    <t>Runner-Up</t>
  </si>
  <si>
    <t>Semifinalists (all 4)</t>
  </si>
  <si>
    <t>Player</t>
  </si>
  <si>
    <t>SF 1</t>
  </si>
  <si>
    <t>SF 2</t>
  </si>
  <si>
    <t>SF 3</t>
  </si>
  <si>
    <t>SF 4</t>
  </si>
  <si>
    <t>Champ</t>
  </si>
  <si>
    <t>R-Up</t>
  </si>
  <si>
    <t>SFs</t>
  </si>
  <si>
    <t>Total</t>
  </si>
  <si>
    <t>🏆  LEADERBOARD</t>
  </si>
  <si>
    <t>Updates automatically. Sort by the TOTAL column (Largest to Smallest) or read the Rank column.</t>
  </si>
  <si>
    <t>Rank</t>
  </si>
  <si>
    <t>Pre-Tourney</t>
  </si>
  <si>
    <t>Match Pts</t>
  </si>
  <si>
    <t>TOTAL</t>
  </si>
  <si>
    <t>Exact Scores</t>
  </si>
  <si>
    <t>Correct Picks</t>
  </si>
  <si>
    <t>Accuracy</t>
  </si>
  <si>
    <t>Champion Pick</t>
  </si>
  <si>
    <t>Advancing (H/A)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</si>
</sst>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d&quot;, &quot;mmm\ d"/>
  </numFmts>
  <fonts count="11" x14ac:knownFonts="1">
    <font>
      <sz val="11"/>
      <color theme="1"/>
      <name val="Calibri"/>
      <family val="2"/>
      <charset val="1"/>
    </font>
    <font>
      <b/>
      <sz val="15"/>
      <color rgb="FFFFFFFF"/>
      <name val="Arial"/>
      <charset val="1"/>
    </font>
    <font>
      <sz val="11"/>
      <color rgb="FF000000"/>
      <name val="Arial"/>
      <charset val="1"/>
    </font>
    <font>
      <b/>
      <sz val="12"/>
      <color rgb="FF0F5C30"/>
      <name val="Arial"/>
      <charset val="1"/>
    </font>
    <font>
      <b/>
      <sz val="13"/>
      <color rgb="FFFFFFFF"/>
      <name val="Arial"/>
      <charset val="1"/>
    </font>
    <font>
      <b/>
      <sz val="11"/>
      <color rgb="FFFFFFFF"/>
      <name val="Arial"/>
      <charset val="1"/>
    </font>
    <font>
      <b/>
      <sz val="9"/>
      <color rgb="FF000000"/>
      <name val="Arial"/>
      <charset val="1"/>
    </font>
    <font>
      <b/>
      <sz val="9"/>
      <color rgb="FFFFFFFF"/>
      <name val="Arial"/>
      <charset val="1"/>
    </font>
    <font>
      <sz val="9"/>
      <color rgb="FF000000"/>
      <name val="Arial"/>
      <charset val="1"/>
    </font>
    <font>
      <b/>
      <sz val="11"/>
      <color rgb="FF0F5C30"/>
      <name val="Arial"/>
      <charset val="1"/>
    </font>
    <font>
      <b/>
      <sz val="11"/>
      <color rgb="FF000000"/>
      <name val="Arial"/>
      <charset val="1"/>
    </font>
  </fonts>
  <fills count="11">
    <fill>
      <patternFill patternType="none"/>
    </fill>
    <fill>
      <patternFill patternType="gray125"/>
    </fill>
    <fill>
      <patternFill patternType="solid">
        <fgColor rgb="FF1B7A43"/>
        <bgColor rgb="FF3C8C5E"/>
      </patternFill>
    </fill>
    <fill>
      <patternFill patternType="solid">
        <fgColor rgb="FF0F5C30"/>
        <bgColor rgb="FF1B7A43"/>
      </patternFill>
    </fill>
    <fill>
      <patternFill patternType="solid">
        <fgColor rgb="FF3C8C5E"/>
        <bgColor rgb="FF1B7A43"/>
      </patternFill>
    </fill>
    <fill>
      <patternFill patternType="solid">
        <fgColor rgb="FFE9F3EC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FFF7D6"/>
        <bgColor rgb="FFF2F2F2"/>
      </patternFill>
    </fill>
    <fill>
      <patternFill patternType="solid">
        <fgColor rgb="FFF2F2F2"/>
        <bgColor rgb="FFE9F3EC"/>
      </patternFill>
    </fill>
    <fill>
      <patternFill patternType="solid">
        <fgColor rgb="FFFBE6D4"/>
        <bgColor rgb="FFFFF7D6"/>
      </patternFill>
    </fill>
    <fill>
      <patternFill patternType="solid">
        <fgColor rgb="FFC8A100"/>
        <bgColor rgb="FF99CC00"/>
      </patternFill>
    </fill>
  </fills>
  <borders count="4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  <border>
      <left/>
      <right/>
      <top style="thin">
        <color rgb="FFC9C9C9"/>
      </top>
      <bottom style="thin">
        <color rgb="FFC9C9C9"/>
      </bottom>
      <diagonal/>
    </border>
    <border>
      <left/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1" fillId="2" borderId="0" xfId="0" applyFont="1" applyFill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5" fillId="4" borderId="1" xfId="0" applyFont="1" applyFill="1" applyBorder="1" applyAlignment="1">
      <alignment horizontal="center" vertical="center" wrapText="1"/>
    </xf>
    <xf numFmtId="0" fontId="6" fillId="5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164" fontId="2" fillId="6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1" fontId="2" fillId="7" borderId="1" xfId="0" applyNumberFormat="1" applyFont="1" applyFill="1" applyBorder="1" applyAlignment="1">
      <alignment horizontal="center" vertical="center"/>
    </xf>
    <xf numFmtId="1" fontId="9" fillId="6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164" fontId="2" fillId="8" borderId="1" xfId="0" applyNumberFormat="1" applyFont="1" applyFill="1" applyBorder="1" applyAlignment="1">
      <alignment horizontal="center" vertical="center"/>
    </xf>
    <xf numFmtId="0" fontId="8" fillId="8" borderId="1" xfId="0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left" vertical="center"/>
    </xf>
    <xf numFmtId="1" fontId="9" fillId="8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164" fontId="2" fillId="9" borderId="1" xfId="0" applyNumberFormat="1" applyFont="1" applyFill="1" applyBorder="1" applyAlignment="1">
      <alignment horizontal="center" vertical="center"/>
    </xf>
    <xf numFmtId="0" fontId="8" fillId="9" borderId="1" xfId="0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1" fontId="9" fillId="9" borderId="1" xfId="0" applyNumberFormat="1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left" vertical="center"/>
    </xf>
    <xf numFmtId="0" fontId="8" fillId="8" borderId="1" xfId="0" applyFont="1" applyFill="1" applyBorder="1" applyAlignment="1">
      <alignment horizontal="left" vertical="center"/>
    </xf>
    <xf numFmtId="0" fontId="8" fillId="9" borderId="1" xfId="0" applyFont="1" applyFill="1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5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/>
    </xf>
    <xf numFmtId="0" fontId="2" fillId="7" borderId="1" xfId="0" applyFont="1" applyFill="1" applyBorder="1" applyAlignment="1">
      <alignment horizontal="left" vertical="center"/>
    </xf>
    <xf numFmtId="1" fontId="2" fillId="6" borderId="1" xfId="0" applyNumberFormat="1" applyFont="1" applyFill="1" applyBorder="1" applyAlignment="1">
      <alignment horizontal="center" vertical="center"/>
    </xf>
    <xf numFmtId="0" fontId="10" fillId="8" borderId="1" xfId="0" applyFont="1" applyFill="1" applyBorder="1" applyAlignment="1">
      <alignment horizontal="left" vertical="center"/>
    </xf>
    <xf numFmtId="1" fontId="2" fillId="8" borderId="1" xfId="0" applyNumberFormat="1" applyFont="1" applyFill="1" applyBorder="1" applyAlignment="1">
      <alignment horizontal="center" vertical="center"/>
    </xf>
    <xf numFmtId="0" fontId="8" fillId="0" borderId="0" xfId="0" applyFont="1" applyAlignment="1">
      <alignment horizontal="left" vertical="center"/>
    </xf>
    <xf numFmtId="1" fontId="10" fillId="6" borderId="1" xfId="0" applyNumberFormat="1" applyFont="1" applyFill="1" applyBorder="1" applyAlignment="1">
      <alignment horizontal="center" vertical="center"/>
    </xf>
    <xf numFmtId="1" fontId="3" fillId="6" borderId="1" xfId="0" applyNumberFormat="1" applyFont="1" applyFill="1" applyBorder="1" applyAlignment="1">
      <alignment horizontal="center" vertical="center"/>
    </xf>
    <xf numFmtId="9" fontId="2" fillId="6" borderId="1" xfId="0" applyNumberFormat="1" applyFont="1" applyFill="1" applyBorder="1" applyAlignment="1">
      <alignment horizontal="center" vertical="center"/>
    </xf>
    <xf numFmtId="1" fontId="10" fillId="5" borderId="1" xfId="0" applyNumberFormat="1" applyFont="1" applyFill="1" applyBorder="1" applyAlignment="1">
      <alignment horizontal="center" vertical="center"/>
    </xf>
    <xf numFmtId="1" fontId="2" fillId="5" borderId="1" xfId="0" applyNumberFormat="1" applyFont="1" applyFill="1" applyBorder="1" applyAlignment="1">
      <alignment horizontal="center" vertical="center"/>
    </xf>
    <xf numFmtId="1" fontId="3" fillId="5" borderId="1" xfId="0" applyNumberFormat="1" applyFont="1" applyFill="1" applyBorder="1" applyAlignment="1">
      <alignment horizontal="center" vertical="center"/>
    </xf>
    <xf numFmtId="9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0" fontId="0" fillId="0" borderId="2" xfId="0" applyBorder="1"/>
    <xf numFmtId="0" fontId="0" fillId="0" borderId="3" xfId="0" applyBorder="1"/>
    <xf numFmtId="0" fontId="4" fillId="2" borderId="0" xfId="0" applyFont="1" applyFill="1" applyAlignment="1">
      <alignment horizontal="left" vertical="center"/>
    </xf>
    <xf numFmtId="0" fontId="0" fillId="0" borderId="0" xfId="0"/>
    <xf numFmtId="0" fontId="2" fillId="3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F5C30"/>
      <rgbColor rgb="FF000080"/>
      <rgbColor rgb="FF808000"/>
      <rgbColor rgb="FF800080"/>
      <rgbColor rgb="FF1B7A43"/>
      <rgbColor rgb="FFC9C9C9"/>
      <rgbColor rgb="FF808080"/>
      <rgbColor rgb="FF9999FF"/>
      <rgbColor rgb="FF993366"/>
      <rgbColor rgb="FFFFF7D6"/>
      <rgbColor rgb="FFE9F3EC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BE6D4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C8A100"/>
      <rgbColor rgb="FFFF6600"/>
      <rgbColor rgb="FF666699"/>
      <rgbColor rgb="FF969696"/>
      <rgbColor rgb="FF003366"/>
      <rgbColor rgb="FF3C8C5E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B26"/>
  <sheetViews>
    <sheetView showGridLines="0" zoomScaleNormal="100" workbookViewId="0"/>
  </sheetViews>
  <sheetFormatPr defaultColWidth="8.6328125" defaultRowHeight="14.5" x14ac:dyDescent="0.35"/>
  <cols>
    <col min="1" max="1" width="3" customWidth="1"/>
    <col min="2" max="2" width="102" customWidth="1"/>
  </cols>
  <sheetData>
    <row r="1" spans="2:2" ht="30" customHeight="1" x14ac:dyDescent="0.35">
      <c r="B1" s="1" t="s">
        <v>0</v>
      </c>
    </row>
    <row r="2" spans="2:2" ht="15" customHeight="1" x14ac:dyDescent="0.35">
      <c r="B2" s="2"/>
    </row>
    <row r="3" spans="2:2" ht="15" customHeight="1" x14ac:dyDescent="0.35">
      <c r="B3" s="3" t="s">
        <v>1</v>
      </c>
    </row>
    <row r="4" spans="2:2" ht="15" customHeight="1" x14ac:dyDescent="0.35">
      <c r="B4" s="2" t="s">
        <v>2</v>
      </c>
    </row>
    <row r="5" spans="2:2" ht="15" customHeight="1" x14ac:dyDescent="0.35">
      <c r="B5" s="2" t="s">
        <v>3</v>
      </c>
    </row>
    <row r="6" spans="2:2" ht="15" customHeight="1" x14ac:dyDescent="0.35">
      <c r="B6" s="2"/>
    </row>
    <row r="7" spans="2:2" ht="15" customHeight="1" x14ac:dyDescent="0.35">
      <c r="B7" s="3" t="s">
        <v>4</v>
      </c>
    </row>
    <row r="8" spans="2:2" ht="15" customHeight="1" x14ac:dyDescent="0.35">
      <c r="B8" s="2" t="s">
        <v>5</v>
      </c>
    </row>
    <row r="9" spans="2:2" ht="15" customHeight="1" x14ac:dyDescent="0.35">
      <c r="B9" s="2" t="s">
        <v>6</v>
      </c>
    </row>
    <row r="10" spans="2:2" ht="15" customHeight="1" x14ac:dyDescent="0.35">
      <c r="B10" s="2" t="s">
        <v>7</v>
      </c>
    </row>
    <row r="11" spans="2:2" ht="15" customHeight="1" x14ac:dyDescent="0.35">
      <c r="B11" s="2" t="s">
        <v>8</v>
      </c>
    </row>
    <row r="12" spans="2:2" ht="15" customHeight="1" x14ac:dyDescent="0.35">
      <c r="B12" s="2" t="s">
        <v>9</v>
      </c>
    </row>
    <row r="13" spans="2:2" ht="15" customHeight="1" x14ac:dyDescent="0.35">
      <c r="B13" s="2" t="s">
        <v>10</v>
      </c>
    </row>
    <row r="14" spans="2:2" ht="15" customHeight="1" x14ac:dyDescent="0.35">
      <c r="B14" s="2"/>
    </row>
    <row r="15" spans="2:2" ht="15" customHeight="1" x14ac:dyDescent="0.35">
      <c r="B15" s="3" t="s">
        <v>11</v>
      </c>
    </row>
    <row r="16" spans="2:2" ht="15" customHeight="1" x14ac:dyDescent="0.35">
      <c r="B16" s="2" t="s">
        <v>12</v>
      </c>
    </row>
    <row r="17" spans="2:2" ht="15" customHeight="1" x14ac:dyDescent="0.35">
      <c r="B17" s="2" t="s">
        <v>13</v>
      </c>
    </row>
    <row r="18" spans="2:2" ht="15" customHeight="1" x14ac:dyDescent="0.35">
      <c r="B18" s="2" t="s">
        <v>14</v>
      </c>
    </row>
    <row r="19" spans="2:2" ht="15" customHeight="1" x14ac:dyDescent="0.35">
      <c r="B19" s="2"/>
    </row>
    <row r="20" spans="2:2" ht="15" customHeight="1" x14ac:dyDescent="0.35">
      <c r="B20" s="3" t="s">
        <v>15</v>
      </c>
    </row>
    <row r="21" spans="2:2" ht="15" customHeight="1" x14ac:dyDescent="0.35">
      <c r="B21" s="2" t="s">
        <v>16</v>
      </c>
    </row>
    <row r="22" spans="2:2" ht="15" customHeight="1" x14ac:dyDescent="0.35">
      <c r="B22" s="2" t="s">
        <v>17</v>
      </c>
    </row>
    <row r="23" spans="2:2" ht="15" customHeight="1" x14ac:dyDescent="0.35">
      <c r="B23" s="3" t="s">
        <v>18</v>
      </c>
    </row>
    <row r="24" spans="2:2" ht="15" customHeight="1" x14ac:dyDescent="0.35">
      <c r="B24" s="2" t="s">
        <v>19</v>
      </c>
    </row>
    <row r="25" spans="2:2" ht="15" customHeight="1" x14ac:dyDescent="0.35">
      <c r="B25" s="2" t="s">
        <v>20</v>
      </c>
    </row>
    <row r="26" spans="2:2" ht="15" customHeight="1" x14ac:dyDescent="0.35">
      <c r="B26" s="2" t="s">
        <v>21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107"/>
  <sheetViews>
    <sheetView showGridLines="0" tabSelected="1" zoomScaleNormal="100" workbookViewId="0">
      <pane xSplit="8" ySplit="3" topLeftCell="I62" activePane="bottomRight" state="frozen"/>
      <selection pane="topRight" activeCell="I1" sqref="I1"/>
      <selection pane="bottomLeft" activeCell="A4" sqref="A4"/>
      <selection pane="bottomRight" activeCell="E76" sqref="E76"/>
    </sheetView>
  </sheetViews>
  <sheetFormatPr defaultColWidth="8.6328125" defaultRowHeight="14.5" x14ac:dyDescent="0.35"/>
  <cols>
    <col min="1" max="1" width="7" customWidth="1"/>
    <col min="2" max="2" width="12" customWidth="1"/>
    <col min="3" max="3" width="11" customWidth="1"/>
    <col min="4" max="4" width="7" customWidth="1"/>
    <col min="5" max="6" width="19" customWidth="1"/>
    <col min="7" max="8" width="6" customWidth="1"/>
    <col min="9" max="10" width="6.54296875" customWidth="1"/>
    <col min="11" max="11" width="5.54296875" customWidth="1"/>
    <col min="12" max="13" width="6.54296875" customWidth="1"/>
    <col min="14" max="14" width="5.54296875" customWidth="1"/>
    <col min="15" max="16" width="6.54296875" customWidth="1"/>
    <col min="17" max="17" width="5.54296875" customWidth="1"/>
    <col min="18" max="19" width="6.54296875" customWidth="1"/>
    <col min="20" max="20" width="5.54296875" customWidth="1"/>
    <col min="21" max="22" width="6.54296875" customWidth="1"/>
    <col min="23" max="23" width="5.54296875" customWidth="1"/>
    <col min="24" max="25" width="6.54296875" customWidth="1"/>
    <col min="26" max="26" width="5.54296875" customWidth="1"/>
    <col min="27" max="28" width="6.54296875" customWidth="1"/>
    <col min="29" max="29" width="5.54296875" customWidth="1"/>
    <col min="30" max="30" width="6.54296875" customWidth="1"/>
    <col min="31" max="31" width="13" customWidth="1"/>
    <col min="32" max="32" width="5.54296875" customWidth="1"/>
    <col min="33" max="33" width="6.54296875" customWidth="1"/>
    <col min="34" max="34" width="13" customWidth="1"/>
    <col min="35" max="35" width="5.54296875" customWidth="1"/>
    <col min="36" max="36" width="14.08984375" customWidth="1"/>
  </cols>
  <sheetData>
    <row r="1" spans="1:36" ht="25.5" customHeight="1" x14ac:dyDescent="0.35">
      <c r="A1" s="48" t="s">
        <v>22</v>
      </c>
      <c r="B1" s="49"/>
      <c r="C1" s="49"/>
      <c r="D1" s="49"/>
      <c r="E1" s="49"/>
      <c r="F1" s="49"/>
      <c r="G1" s="49"/>
      <c r="H1" s="49"/>
      <c r="I1" s="49"/>
      <c r="J1" s="49"/>
      <c r="K1" s="49"/>
      <c r="L1" s="49"/>
      <c r="M1" s="49"/>
      <c r="N1" s="49"/>
      <c r="O1" s="49"/>
      <c r="P1" s="49"/>
      <c r="Q1" s="49"/>
      <c r="R1" s="49"/>
      <c r="S1" s="49"/>
      <c r="T1" s="49"/>
      <c r="U1" s="49"/>
      <c r="V1" s="49"/>
      <c r="W1" s="49"/>
      <c r="X1" s="49"/>
      <c r="Y1" s="49"/>
      <c r="Z1" s="49"/>
      <c r="AA1" s="49"/>
      <c r="AB1" s="49"/>
      <c r="AC1" s="49"/>
      <c r="AD1" s="49"/>
      <c r="AE1" s="49"/>
      <c r="AF1" s="49"/>
    </row>
    <row r="2" spans="1:36" ht="15" customHeight="1" x14ac:dyDescent="0.35">
      <c r="A2" s="50" t="s">
        <v>23</v>
      </c>
      <c r="B2" s="46"/>
      <c r="C2" s="46"/>
      <c r="D2" s="46"/>
      <c r="E2" s="46"/>
      <c r="F2" s="46"/>
      <c r="G2" s="46"/>
      <c r="H2" s="47"/>
      <c r="I2" s="45" t="s">
        <v>24</v>
      </c>
      <c r="J2" s="46"/>
      <c r="K2" s="47"/>
      <c r="L2" s="45" t="s">
        <v>25</v>
      </c>
      <c r="M2" s="46"/>
      <c r="N2" s="47"/>
      <c r="O2" s="45" t="s">
        <v>26</v>
      </c>
      <c r="P2" s="46"/>
      <c r="Q2" s="47"/>
      <c r="R2" s="45" t="s">
        <v>27</v>
      </c>
      <c r="S2" s="46"/>
      <c r="T2" s="47"/>
      <c r="U2" s="45" t="s">
        <v>28</v>
      </c>
      <c r="V2" s="46"/>
      <c r="W2" s="47"/>
      <c r="X2" s="45" t="s">
        <v>29</v>
      </c>
      <c r="Y2" s="46"/>
      <c r="Z2" s="47"/>
      <c r="AA2" s="45" t="s">
        <v>30</v>
      </c>
      <c r="AB2" s="46"/>
      <c r="AC2" s="47"/>
      <c r="AD2" s="45" t="s">
        <v>31</v>
      </c>
      <c r="AE2" s="46"/>
      <c r="AF2" s="47"/>
      <c r="AG2" s="45" t="s">
        <v>32</v>
      </c>
      <c r="AH2" s="46"/>
      <c r="AI2" s="47"/>
    </row>
    <row r="3" spans="1:36" ht="18" customHeight="1" x14ac:dyDescent="0.35">
      <c r="A3" s="4" t="s">
        <v>33</v>
      </c>
      <c r="B3" s="4" t="s">
        <v>34</v>
      </c>
      <c r="C3" s="4" t="s">
        <v>35</v>
      </c>
      <c r="D3" s="4" t="s">
        <v>36</v>
      </c>
      <c r="E3" s="4" t="s">
        <v>37</v>
      </c>
      <c r="F3" s="4" t="s">
        <v>38</v>
      </c>
      <c r="G3" s="4" t="s">
        <v>39</v>
      </c>
      <c r="H3" s="4" t="s">
        <v>40</v>
      </c>
      <c r="I3" s="5" t="s">
        <v>41</v>
      </c>
      <c r="J3" s="5" t="s">
        <v>42</v>
      </c>
      <c r="K3" s="6" t="s">
        <v>43</v>
      </c>
      <c r="L3" s="5" t="s">
        <v>41</v>
      </c>
      <c r="M3" s="5" t="s">
        <v>42</v>
      </c>
      <c r="N3" s="6" t="s">
        <v>43</v>
      </c>
      <c r="O3" s="5" t="s">
        <v>41</v>
      </c>
      <c r="P3" s="5" t="s">
        <v>42</v>
      </c>
      <c r="Q3" s="6" t="s">
        <v>43</v>
      </c>
      <c r="R3" s="5" t="s">
        <v>41</v>
      </c>
      <c r="S3" s="5" t="s">
        <v>42</v>
      </c>
      <c r="T3" s="6" t="s">
        <v>43</v>
      </c>
      <c r="U3" s="5" t="s">
        <v>41</v>
      </c>
      <c r="V3" s="5" t="s">
        <v>42</v>
      </c>
      <c r="W3" s="6" t="s">
        <v>43</v>
      </c>
      <c r="X3" s="5" t="s">
        <v>41</v>
      </c>
      <c r="Y3" s="5" t="s">
        <v>42</v>
      </c>
      <c r="Z3" s="6" t="s">
        <v>43</v>
      </c>
      <c r="AA3" s="5" t="s">
        <v>41</v>
      </c>
      <c r="AB3" s="5" t="s">
        <v>42</v>
      </c>
      <c r="AC3" s="6" t="s">
        <v>43</v>
      </c>
      <c r="AD3" s="5" t="s">
        <v>41</v>
      </c>
      <c r="AE3" s="5" t="s">
        <v>42</v>
      </c>
      <c r="AF3" s="6" t="s">
        <v>43</v>
      </c>
      <c r="AG3" s="5" t="s">
        <v>41</v>
      </c>
      <c r="AH3" s="5" t="s">
        <v>42</v>
      </c>
      <c r="AI3" s="6" t="s">
        <v>43</v>
      </c>
      <c r="AJ3" t="s">
        <v>206</v>
      </c>
    </row>
    <row r="4" spans="1:36" ht="15" customHeight="1" x14ac:dyDescent="0.35">
      <c r="A4" s="7">
        <v>1</v>
      </c>
      <c r="B4" s="8">
        <v>46184</v>
      </c>
      <c r="C4" s="9" t="s">
        <v>44</v>
      </c>
      <c r="D4" s="7" t="s">
        <v>45</v>
      </c>
      <c r="E4" s="10" t="s">
        <v>46</v>
      </c>
      <c r="F4" s="10" t="s">
        <v>47</v>
      </c>
      <c r="G4" s="11">
        <v>2</v>
      </c>
      <c r="H4" s="11">
        <v>0</v>
      </c>
      <c r="I4" s="11">
        <v>3</v>
      </c>
      <c r="J4" s="11">
        <v>1</v>
      </c>
      <c r="K4" s="12">
        <f t="shared" ref="K4:K35" si="0">IF(OR(I4="",J4="",$G4="",$H4=""),0,IF(AND(I4=$G4,J4=$H4),8,IF(SIGN(I4-J4)=SIGN($G4-$H4),3,0)))</f>
        <v>3</v>
      </c>
      <c r="L4" s="11">
        <v>2</v>
      </c>
      <c r="M4" s="11">
        <v>1</v>
      </c>
      <c r="N4" s="12">
        <f t="shared" ref="N4:N35" si="1">IF(OR(L4="",M4="",$G4="",$H4=""),0,IF(AND(L4=$G4,M4=$H4),8,IF(SIGN(L4-M4)=SIGN($G4-$H4),3,0)))</f>
        <v>3</v>
      </c>
      <c r="O4" s="11">
        <v>1</v>
      </c>
      <c r="P4" s="11">
        <v>0</v>
      </c>
      <c r="Q4" s="12">
        <f t="shared" ref="Q4:Q35" si="2">IF(OR(O4="",P4="",$G4="",$H4=""),0,IF(AND(O4=$G4,P4=$H4),8,IF(SIGN(O4-P4)=SIGN($G4-$H4),3,0)))</f>
        <v>3</v>
      </c>
      <c r="R4" s="11">
        <v>3</v>
      </c>
      <c r="S4" s="11">
        <v>0</v>
      </c>
      <c r="T4" s="12">
        <f t="shared" ref="T4:T35" si="3">IF(OR(R4="",S4="",$G4="",$H4=""),0,IF(AND(R4=$G4,S4=$H4),8,IF(SIGN(R4-S4)=SIGN($G4-$H4),3,0)))</f>
        <v>3</v>
      </c>
      <c r="U4" s="11"/>
      <c r="V4" s="11"/>
      <c r="W4" s="12">
        <f t="shared" ref="W4:W35" si="4">IF(OR(U4="",V4="",$G4="",$H4=""),0,IF(AND(U4=$G4,V4=$H4),8,IF(SIGN(U4-V4)=SIGN($G4-$H4),3,0)))</f>
        <v>0</v>
      </c>
      <c r="X4" s="11">
        <v>0</v>
      </c>
      <c r="Y4" s="11">
        <v>1</v>
      </c>
      <c r="Z4" s="12">
        <f t="shared" ref="Z4:Z35" si="5">IF(OR(X4="",Y4="",$G4="",$H4=""),0,IF(AND(X4=$G4,Y4=$H4),8,IF(SIGN(X4-Y4)=SIGN($G4-$H4),3,0)))</f>
        <v>0</v>
      </c>
      <c r="AA4" s="11">
        <v>2</v>
      </c>
      <c r="AB4" s="11">
        <v>0</v>
      </c>
      <c r="AC4" s="12">
        <f t="shared" ref="AC4:AC35" si="6">IF(OR(AA4="",AB4="",$G4="",$H4=""),0,IF(AND(AA4=$G4,AB4=$H4),8,IF(SIGN(AA4-AB4)=SIGN($G4-$H4),3,0)))</f>
        <v>8</v>
      </c>
      <c r="AD4" s="11">
        <v>2</v>
      </c>
      <c r="AE4" s="11">
        <v>0</v>
      </c>
      <c r="AF4" s="12">
        <f t="shared" ref="AF4:AF35" si="7">IF(OR(AD4="",AE4="",$G4="",$H4=""),0,IF(AND(AD4=$G4,AE4=$H4),8,IF(SIGN(AD4-AE4)=SIGN($G4-$H4),3,0)))</f>
        <v>8</v>
      </c>
      <c r="AG4" s="11">
        <v>2</v>
      </c>
      <c r="AH4" s="11">
        <v>1</v>
      </c>
      <c r="AI4" s="12">
        <f t="shared" ref="AI4:AI35" si="8">IF(OR(AG4="",AH4="",$G4="",$H4=""),0,IF(AND(AG4=$G4,AH4=$H4),8,IF(SIGN(AG4-AH4)=SIGN($G4-$H4),3,0)))</f>
        <v>3</v>
      </c>
    </row>
    <row r="5" spans="1:36" ht="15" customHeight="1" x14ac:dyDescent="0.35">
      <c r="A5" s="13">
        <v>2</v>
      </c>
      <c r="B5" s="14">
        <v>46184</v>
      </c>
      <c r="C5" s="15" t="s">
        <v>44</v>
      </c>
      <c r="D5" s="13" t="s">
        <v>45</v>
      </c>
      <c r="E5" s="16" t="s">
        <v>48</v>
      </c>
      <c r="F5" s="16" t="s">
        <v>49</v>
      </c>
      <c r="G5" s="11">
        <v>2</v>
      </c>
      <c r="H5" s="11">
        <v>1</v>
      </c>
      <c r="I5" s="11">
        <v>2</v>
      </c>
      <c r="J5" s="11">
        <v>1</v>
      </c>
      <c r="K5" s="17">
        <f t="shared" si="0"/>
        <v>8</v>
      </c>
      <c r="L5" s="11">
        <v>2</v>
      </c>
      <c r="M5" s="11">
        <v>2</v>
      </c>
      <c r="N5" s="17">
        <f t="shared" si="1"/>
        <v>0</v>
      </c>
      <c r="O5" s="11">
        <v>3</v>
      </c>
      <c r="P5" s="11">
        <v>1</v>
      </c>
      <c r="Q5" s="17">
        <f t="shared" si="2"/>
        <v>3</v>
      </c>
      <c r="R5" s="11">
        <v>1</v>
      </c>
      <c r="S5" s="11">
        <v>2</v>
      </c>
      <c r="T5" s="17">
        <f t="shared" si="3"/>
        <v>0</v>
      </c>
      <c r="U5" s="11">
        <v>2</v>
      </c>
      <c r="V5" s="11">
        <v>1</v>
      </c>
      <c r="W5" s="17">
        <f t="shared" si="4"/>
        <v>8</v>
      </c>
      <c r="X5" s="11">
        <v>1</v>
      </c>
      <c r="Y5" s="11">
        <v>2</v>
      </c>
      <c r="Z5" s="17">
        <f t="shared" si="5"/>
        <v>0</v>
      </c>
      <c r="AA5" s="11">
        <v>2</v>
      </c>
      <c r="AB5" s="11">
        <v>1</v>
      </c>
      <c r="AC5" s="17">
        <f t="shared" si="6"/>
        <v>8</v>
      </c>
      <c r="AD5" s="11">
        <v>1</v>
      </c>
      <c r="AE5" s="11">
        <v>1</v>
      </c>
      <c r="AF5" s="17">
        <f t="shared" si="7"/>
        <v>0</v>
      </c>
      <c r="AG5" s="11">
        <v>1</v>
      </c>
      <c r="AH5" s="11">
        <v>2</v>
      </c>
      <c r="AI5" s="17">
        <f t="shared" si="8"/>
        <v>0</v>
      </c>
    </row>
    <row r="6" spans="1:36" ht="15" customHeight="1" x14ac:dyDescent="0.35">
      <c r="A6" s="7">
        <v>3</v>
      </c>
      <c r="B6" s="8">
        <v>46185</v>
      </c>
      <c r="C6" s="9" t="s">
        <v>44</v>
      </c>
      <c r="D6" s="7" t="s">
        <v>50</v>
      </c>
      <c r="E6" s="10" t="s">
        <v>51</v>
      </c>
      <c r="F6" s="10" t="s">
        <v>52</v>
      </c>
      <c r="G6" s="11">
        <v>1</v>
      </c>
      <c r="H6" s="11">
        <v>1</v>
      </c>
      <c r="I6" s="11">
        <v>2</v>
      </c>
      <c r="J6" s="11">
        <v>1</v>
      </c>
      <c r="K6" s="12">
        <f t="shared" si="0"/>
        <v>0</v>
      </c>
      <c r="L6" s="11">
        <v>1</v>
      </c>
      <c r="M6" s="11">
        <v>1</v>
      </c>
      <c r="N6" s="12">
        <f t="shared" si="1"/>
        <v>8</v>
      </c>
      <c r="O6" s="11">
        <v>2</v>
      </c>
      <c r="P6" s="11">
        <v>2</v>
      </c>
      <c r="Q6" s="12">
        <f t="shared" si="2"/>
        <v>3</v>
      </c>
      <c r="R6" s="11">
        <v>1</v>
      </c>
      <c r="S6" s="11">
        <v>1</v>
      </c>
      <c r="T6" s="12">
        <f t="shared" si="3"/>
        <v>8</v>
      </c>
      <c r="U6" s="11">
        <v>1</v>
      </c>
      <c r="V6" s="11">
        <v>0</v>
      </c>
      <c r="W6" s="12">
        <f t="shared" si="4"/>
        <v>0</v>
      </c>
      <c r="X6" s="11">
        <v>3</v>
      </c>
      <c r="Y6" s="11">
        <v>0</v>
      </c>
      <c r="Z6" s="12">
        <f t="shared" si="5"/>
        <v>0</v>
      </c>
      <c r="AA6" s="11">
        <v>1</v>
      </c>
      <c r="AB6" s="11">
        <v>1</v>
      </c>
      <c r="AC6" s="12">
        <f t="shared" si="6"/>
        <v>8</v>
      </c>
      <c r="AD6" s="11">
        <v>2</v>
      </c>
      <c r="AE6" s="11">
        <v>0</v>
      </c>
      <c r="AF6" s="12">
        <f t="shared" si="7"/>
        <v>0</v>
      </c>
      <c r="AG6" s="11">
        <v>1</v>
      </c>
      <c r="AH6" s="11">
        <v>0</v>
      </c>
      <c r="AI6" s="12">
        <f t="shared" si="8"/>
        <v>0</v>
      </c>
    </row>
    <row r="7" spans="1:36" ht="15" customHeight="1" x14ac:dyDescent="0.35">
      <c r="A7" s="13">
        <v>4</v>
      </c>
      <c r="B7" s="14">
        <v>46185</v>
      </c>
      <c r="C7" s="15" t="s">
        <v>44</v>
      </c>
      <c r="D7" s="13" t="s">
        <v>53</v>
      </c>
      <c r="E7" s="16" t="s">
        <v>54</v>
      </c>
      <c r="F7" s="16" t="s">
        <v>55</v>
      </c>
      <c r="G7" s="11">
        <v>4</v>
      </c>
      <c r="H7" s="11">
        <v>1</v>
      </c>
      <c r="I7" s="11">
        <v>2</v>
      </c>
      <c r="J7" s="11">
        <v>0</v>
      </c>
      <c r="K7" s="17">
        <f t="shared" si="0"/>
        <v>3</v>
      </c>
      <c r="L7" s="11">
        <v>2</v>
      </c>
      <c r="M7" s="11">
        <v>0</v>
      </c>
      <c r="N7" s="17">
        <f t="shared" si="1"/>
        <v>3</v>
      </c>
      <c r="O7" s="11">
        <v>1</v>
      </c>
      <c r="P7" s="11">
        <v>2</v>
      </c>
      <c r="Q7" s="17">
        <f t="shared" si="2"/>
        <v>0</v>
      </c>
      <c r="R7" s="11">
        <v>3</v>
      </c>
      <c r="S7" s="11">
        <v>1</v>
      </c>
      <c r="T7" s="17">
        <f t="shared" si="3"/>
        <v>3</v>
      </c>
      <c r="U7" s="11">
        <v>2</v>
      </c>
      <c r="V7" s="11">
        <v>1</v>
      </c>
      <c r="W7" s="17">
        <f t="shared" si="4"/>
        <v>3</v>
      </c>
      <c r="X7" s="11">
        <v>1</v>
      </c>
      <c r="Y7" s="11">
        <v>1</v>
      </c>
      <c r="Z7" s="17">
        <f t="shared" si="5"/>
        <v>0</v>
      </c>
      <c r="AA7" s="11">
        <v>2</v>
      </c>
      <c r="AB7" s="11">
        <v>1</v>
      </c>
      <c r="AC7" s="17">
        <f t="shared" si="6"/>
        <v>3</v>
      </c>
      <c r="AD7" s="11">
        <v>1</v>
      </c>
      <c r="AE7" s="11">
        <v>1</v>
      </c>
      <c r="AF7" s="17">
        <f t="shared" si="7"/>
        <v>0</v>
      </c>
      <c r="AG7" s="11">
        <v>2</v>
      </c>
      <c r="AH7" s="11">
        <v>1</v>
      </c>
      <c r="AI7" s="17">
        <f t="shared" si="8"/>
        <v>3</v>
      </c>
    </row>
    <row r="8" spans="1:36" ht="15" customHeight="1" x14ac:dyDescent="0.35">
      <c r="A8" s="7">
        <v>5</v>
      </c>
      <c r="B8" s="8">
        <v>46186</v>
      </c>
      <c r="C8" s="9" t="s">
        <v>44</v>
      </c>
      <c r="D8" s="7" t="s">
        <v>50</v>
      </c>
      <c r="E8" s="10" t="s">
        <v>56</v>
      </c>
      <c r="F8" s="10" t="s">
        <v>57</v>
      </c>
      <c r="G8" s="11"/>
      <c r="H8" s="11"/>
      <c r="I8" s="11">
        <v>0</v>
      </c>
      <c r="J8" s="11">
        <v>2</v>
      </c>
      <c r="K8" s="12">
        <f t="shared" si="0"/>
        <v>0</v>
      </c>
      <c r="L8" s="11"/>
      <c r="M8" s="11"/>
      <c r="N8" s="12">
        <f t="shared" si="1"/>
        <v>0</v>
      </c>
      <c r="O8" s="11"/>
      <c r="P8" s="11"/>
      <c r="Q8" s="12">
        <f t="shared" si="2"/>
        <v>0</v>
      </c>
      <c r="R8" s="11">
        <v>0</v>
      </c>
      <c r="S8" s="11">
        <v>4</v>
      </c>
      <c r="T8" s="12">
        <f t="shared" si="3"/>
        <v>0</v>
      </c>
      <c r="U8" s="11"/>
      <c r="V8" s="11"/>
      <c r="W8" s="12">
        <f t="shared" si="4"/>
        <v>0</v>
      </c>
      <c r="X8" s="11">
        <v>0</v>
      </c>
      <c r="Y8" s="11">
        <v>1</v>
      </c>
      <c r="Z8" s="12">
        <f t="shared" si="5"/>
        <v>0</v>
      </c>
      <c r="AA8" s="11"/>
      <c r="AB8" s="11"/>
      <c r="AC8" s="12">
        <f t="shared" si="6"/>
        <v>0</v>
      </c>
      <c r="AD8" s="11"/>
      <c r="AE8" s="11"/>
      <c r="AF8" s="12">
        <f t="shared" si="7"/>
        <v>0</v>
      </c>
      <c r="AG8" s="11"/>
      <c r="AH8" s="11"/>
      <c r="AI8" s="12">
        <f t="shared" si="8"/>
        <v>0</v>
      </c>
    </row>
    <row r="9" spans="1:36" ht="15" customHeight="1" x14ac:dyDescent="0.35">
      <c r="A9" s="13">
        <v>6</v>
      </c>
      <c r="B9" s="14">
        <v>46186</v>
      </c>
      <c r="C9" s="15" t="s">
        <v>44</v>
      </c>
      <c r="D9" s="13" t="s">
        <v>58</v>
      </c>
      <c r="E9" s="16" t="s">
        <v>59</v>
      </c>
      <c r="F9" s="16" t="s">
        <v>60</v>
      </c>
      <c r="G9" s="11"/>
      <c r="H9" s="11"/>
      <c r="I9" s="11">
        <v>3</v>
      </c>
      <c r="J9" s="11">
        <v>1</v>
      </c>
      <c r="K9" s="17">
        <f t="shared" si="0"/>
        <v>0</v>
      </c>
      <c r="L9" s="11"/>
      <c r="M9" s="11"/>
      <c r="N9" s="17">
        <f t="shared" si="1"/>
        <v>0</v>
      </c>
      <c r="O9" s="11"/>
      <c r="P9" s="11"/>
      <c r="Q9" s="17">
        <f t="shared" si="2"/>
        <v>0</v>
      </c>
      <c r="R9" s="11">
        <v>3</v>
      </c>
      <c r="S9" s="11">
        <v>1</v>
      </c>
      <c r="T9" s="17">
        <f t="shared" si="3"/>
        <v>0</v>
      </c>
      <c r="U9" s="11"/>
      <c r="V9" s="11"/>
      <c r="W9" s="17">
        <f t="shared" si="4"/>
        <v>0</v>
      </c>
      <c r="X9" s="11">
        <v>3</v>
      </c>
      <c r="Y9" s="11">
        <v>1</v>
      </c>
      <c r="Z9" s="17">
        <f t="shared" si="5"/>
        <v>0</v>
      </c>
      <c r="AA9" s="11"/>
      <c r="AB9" s="11"/>
      <c r="AC9" s="17">
        <f t="shared" si="6"/>
        <v>0</v>
      </c>
      <c r="AD9" s="11"/>
      <c r="AE9" s="11"/>
      <c r="AF9" s="17">
        <f t="shared" si="7"/>
        <v>0</v>
      </c>
      <c r="AG9" s="11"/>
      <c r="AH9" s="11"/>
      <c r="AI9" s="17">
        <f t="shared" si="8"/>
        <v>0</v>
      </c>
    </row>
    <row r="10" spans="1:36" ht="15" customHeight="1" x14ac:dyDescent="0.35">
      <c r="A10" s="7">
        <v>7</v>
      </c>
      <c r="B10" s="8">
        <v>46186</v>
      </c>
      <c r="C10" s="9" t="s">
        <v>44</v>
      </c>
      <c r="D10" s="7" t="s">
        <v>58</v>
      </c>
      <c r="E10" s="10" t="s">
        <v>61</v>
      </c>
      <c r="F10" s="10" t="s">
        <v>62</v>
      </c>
      <c r="G10" s="11"/>
      <c r="H10" s="11"/>
      <c r="I10" s="11">
        <v>0</v>
      </c>
      <c r="J10" s="11">
        <v>2</v>
      </c>
      <c r="K10" s="12">
        <f t="shared" si="0"/>
        <v>0</v>
      </c>
      <c r="L10" s="11"/>
      <c r="M10" s="11"/>
      <c r="N10" s="12">
        <f t="shared" si="1"/>
        <v>0</v>
      </c>
      <c r="O10" s="11"/>
      <c r="P10" s="11"/>
      <c r="Q10" s="12">
        <f t="shared" si="2"/>
        <v>0</v>
      </c>
      <c r="R10" s="11">
        <v>0</v>
      </c>
      <c r="S10" s="11">
        <v>4</v>
      </c>
      <c r="T10" s="12">
        <f t="shared" si="3"/>
        <v>0</v>
      </c>
      <c r="U10" s="11"/>
      <c r="V10" s="11"/>
      <c r="W10" s="12">
        <f t="shared" si="4"/>
        <v>0</v>
      </c>
      <c r="X10" s="11">
        <v>0</v>
      </c>
      <c r="Y10" s="11">
        <v>1</v>
      </c>
      <c r="Z10" s="12">
        <f t="shared" si="5"/>
        <v>0</v>
      </c>
      <c r="AA10" s="11"/>
      <c r="AB10" s="11"/>
      <c r="AC10" s="12">
        <f t="shared" si="6"/>
        <v>0</v>
      </c>
      <c r="AD10" s="11"/>
      <c r="AE10" s="11"/>
      <c r="AF10" s="12">
        <f t="shared" si="7"/>
        <v>0</v>
      </c>
      <c r="AG10" s="11"/>
      <c r="AH10" s="11"/>
      <c r="AI10" s="12">
        <f t="shared" si="8"/>
        <v>0</v>
      </c>
    </row>
    <row r="11" spans="1:36" ht="15" customHeight="1" x14ac:dyDescent="0.35">
      <c r="A11" s="13">
        <v>8</v>
      </c>
      <c r="B11" s="14">
        <v>46186</v>
      </c>
      <c r="C11" s="15" t="s">
        <v>44</v>
      </c>
      <c r="D11" s="13" t="s">
        <v>53</v>
      </c>
      <c r="E11" s="16" t="s">
        <v>63</v>
      </c>
      <c r="F11" s="16" t="s">
        <v>64</v>
      </c>
      <c r="G11" s="11"/>
      <c r="H11" s="11"/>
      <c r="I11" s="11">
        <v>0</v>
      </c>
      <c r="J11" s="11">
        <v>1</v>
      </c>
      <c r="K11" s="17">
        <f t="shared" si="0"/>
        <v>0</v>
      </c>
      <c r="L11" s="11"/>
      <c r="M11" s="11"/>
      <c r="N11" s="17">
        <f t="shared" si="1"/>
        <v>0</v>
      </c>
      <c r="O11" s="11"/>
      <c r="P11" s="11"/>
      <c r="Q11" s="17">
        <f t="shared" si="2"/>
        <v>0</v>
      </c>
      <c r="R11" s="11">
        <v>1</v>
      </c>
      <c r="S11" s="11">
        <v>3</v>
      </c>
      <c r="T11" s="17">
        <f t="shared" si="3"/>
        <v>0</v>
      </c>
      <c r="U11" s="11"/>
      <c r="V11" s="11"/>
      <c r="W11" s="17">
        <f t="shared" si="4"/>
        <v>0</v>
      </c>
      <c r="X11" s="11">
        <v>1</v>
      </c>
      <c r="Y11" s="11">
        <v>3</v>
      </c>
      <c r="Z11" s="17">
        <f t="shared" si="5"/>
        <v>0</v>
      </c>
      <c r="AA11" s="11"/>
      <c r="AB11" s="11"/>
      <c r="AC11" s="17">
        <f t="shared" si="6"/>
        <v>0</v>
      </c>
      <c r="AD11" s="11"/>
      <c r="AE11" s="11"/>
      <c r="AF11" s="17">
        <f t="shared" si="7"/>
        <v>0</v>
      </c>
      <c r="AG11" s="11"/>
      <c r="AH11" s="11"/>
      <c r="AI11" s="17">
        <f t="shared" si="8"/>
        <v>0</v>
      </c>
    </row>
    <row r="12" spans="1:36" ht="15" customHeight="1" x14ac:dyDescent="0.35">
      <c r="A12" s="7">
        <v>9</v>
      </c>
      <c r="B12" s="8">
        <v>46187</v>
      </c>
      <c r="C12" s="9" t="s">
        <v>44</v>
      </c>
      <c r="D12" s="7" t="s">
        <v>65</v>
      </c>
      <c r="E12" s="10" t="s">
        <v>66</v>
      </c>
      <c r="F12" s="10" t="s">
        <v>67</v>
      </c>
      <c r="G12" s="11"/>
      <c r="H12" s="11"/>
      <c r="I12" s="11"/>
      <c r="J12" s="11"/>
      <c r="K12" s="12">
        <f t="shared" si="0"/>
        <v>0</v>
      </c>
      <c r="L12" s="11"/>
      <c r="M12" s="11"/>
      <c r="N12" s="12">
        <f t="shared" si="1"/>
        <v>0</v>
      </c>
      <c r="O12" s="11"/>
      <c r="P12" s="11"/>
      <c r="Q12" s="12">
        <f t="shared" si="2"/>
        <v>0</v>
      </c>
      <c r="R12" s="11">
        <v>7</v>
      </c>
      <c r="S12" s="11">
        <v>0</v>
      </c>
      <c r="T12" s="12">
        <f t="shared" si="3"/>
        <v>0</v>
      </c>
      <c r="U12" s="11"/>
      <c r="V12" s="11"/>
      <c r="W12" s="12">
        <f t="shared" si="4"/>
        <v>0</v>
      </c>
      <c r="X12" s="11">
        <v>3</v>
      </c>
      <c r="Y12" s="11">
        <v>0</v>
      </c>
      <c r="Z12" s="12">
        <f t="shared" si="5"/>
        <v>0</v>
      </c>
      <c r="AA12" s="11"/>
      <c r="AB12" s="11"/>
      <c r="AC12" s="12">
        <f t="shared" si="6"/>
        <v>0</v>
      </c>
      <c r="AD12" s="11"/>
      <c r="AE12" s="11"/>
      <c r="AF12" s="12">
        <f t="shared" si="7"/>
        <v>0</v>
      </c>
      <c r="AG12" s="11"/>
      <c r="AH12" s="11"/>
      <c r="AI12" s="12">
        <f t="shared" si="8"/>
        <v>0</v>
      </c>
    </row>
    <row r="13" spans="1:36" ht="15" customHeight="1" x14ac:dyDescent="0.35">
      <c r="A13" s="13">
        <v>10</v>
      </c>
      <c r="B13" s="14">
        <v>46187</v>
      </c>
      <c r="C13" s="15" t="s">
        <v>44</v>
      </c>
      <c r="D13" s="13" t="s">
        <v>68</v>
      </c>
      <c r="E13" s="16" t="s">
        <v>69</v>
      </c>
      <c r="F13" s="16" t="s">
        <v>70</v>
      </c>
      <c r="G13" s="11"/>
      <c r="H13" s="11"/>
      <c r="I13" s="11"/>
      <c r="J13" s="11"/>
      <c r="K13" s="17">
        <f t="shared" si="0"/>
        <v>0</v>
      </c>
      <c r="L13" s="11"/>
      <c r="M13" s="11"/>
      <c r="N13" s="17">
        <f t="shared" si="1"/>
        <v>0</v>
      </c>
      <c r="O13" s="11"/>
      <c r="P13" s="11"/>
      <c r="Q13" s="17">
        <f t="shared" si="2"/>
        <v>0</v>
      </c>
      <c r="R13" s="11">
        <v>2</v>
      </c>
      <c r="S13" s="11">
        <v>1</v>
      </c>
      <c r="T13" s="17">
        <f t="shared" si="3"/>
        <v>0</v>
      </c>
      <c r="U13" s="11"/>
      <c r="V13" s="11"/>
      <c r="W13" s="17">
        <f t="shared" si="4"/>
        <v>0</v>
      </c>
      <c r="X13" s="11">
        <v>1</v>
      </c>
      <c r="Y13" s="11">
        <v>1</v>
      </c>
      <c r="Z13" s="17">
        <f t="shared" si="5"/>
        <v>0</v>
      </c>
      <c r="AA13" s="11"/>
      <c r="AB13" s="11"/>
      <c r="AC13" s="17">
        <f t="shared" si="6"/>
        <v>0</v>
      </c>
      <c r="AD13" s="11"/>
      <c r="AE13" s="11"/>
      <c r="AF13" s="17">
        <f t="shared" si="7"/>
        <v>0</v>
      </c>
      <c r="AG13" s="11"/>
      <c r="AH13" s="11"/>
      <c r="AI13" s="17">
        <f t="shared" si="8"/>
        <v>0</v>
      </c>
    </row>
    <row r="14" spans="1:36" ht="15" customHeight="1" x14ac:dyDescent="0.35">
      <c r="A14" s="7">
        <v>11</v>
      </c>
      <c r="B14" s="8">
        <v>46187</v>
      </c>
      <c r="C14" s="9" t="s">
        <v>44</v>
      </c>
      <c r="D14" s="7" t="s">
        <v>65</v>
      </c>
      <c r="E14" s="10" t="s">
        <v>71</v>
      </c>
      <c r="F14" s="10" t="s">
        <v>72</v>
      </c>
      <c r="G14" s="11"/>
      <c r="H14" s="11"/>
      <c r="I14" s="11"/>
      <c r="J14" s="11"/>
      <c r="K14" s="12">
        <f t="shared" si="0"/>
        <v>0</v>
      </c>
      <c r="L14" s="11"/>
      <c r="M14" s="11"/>
      <c r="N14" s="12">
        <f t="shared" si="1"/>
        <v>0</v>
      </c>
      <c r="O14" s="11"/>
      <c r="P14" s="11"/>
      <c r="Q14" s="12">
        <f t="shared" si="2"/>
        <v>0</v>
      </c>
      <c r="R14" s="11"/>
      <c r="S14" s="11"/>
      <c r="T14" s="12">
        <f t="shared" si="3"/>
        <v>0</v>
      </c>
      <c r="U14" s="11"/>
      <c r="V14" s="11"/>
      <c r="W14" s="12">
        <f t="shared" si="4"/>
        <v>0</v>
      </c>
      <c r="X14" s="11">
        <v>1</v>
      </c>
      <c r="Y14" s="11">
        <v>2</v>
      </c>
      <c r="Z14" s="12">
        <f t="shared" si="5"/>
        <v>0</v>
      </c>
      <c r="AA14" s="11"/>
      <c r="AB14" s="11"/>
      <c r="AC14" s="12">
        <f t="shared" si="6"/>
        <v>0</v>
      </c>
      <c r="AD14" s="11"/>
      <c r="AE14" s="11"/>
      <c r="AF14" s="12">
        <f t="shared" si="7"/>
        <v>0</v>
      </c>
      <c r="AG14" s="11"/>
      <c r="AH14" s="11"/>
      <c r="AI14" s="12">
        <f t="shared" si="8"/>
        <v>0</v>
      </c>
    </row>
    <row r="15" spans="1:36" ht="15" customHeight="1" x14ac:dyDescent="0.35">
      <c r="A15" s="13">
        <v>12</v>
      </c>
      <c r="B15" s="14">
        <v>46187</v>
      </c>
      <c r="C15" s="15" t="s">
        <v>44</v>
      </c>
      <c r="D15" s="13" t="s">
        <v>68</v>
      </c>
      <c r="E15" s="16" t="s">
        <v>73</v>
      </c>
      <c r="F15" s="16" t="s">
        <v>74</v>
      </c>
      <c r="G15" s="11"/>
      <c r="H15" s="11"/>
      <c r="I15" s="11"/>
      <c r="J15" s="11"/>
      <c r="K15" s="17">
        <f t="shared" si="0"/>
        <v>0</v>
      </c>
      <c r="L15" s="11"/>
      <c r="M15" s="11"/>
      <c r="N15" s="17">
        <f t="shared" si="1"/>
        <v>0</v>
      </c>
      <c r="O15" s="11"/>
      <c r="P15" s="11"/>
      <c r="Q15" s="17">
        <f t="shared" si="2"/>
        <v>0</v>
      </c>
      <c r="R15" s="11"/>
      <c r="S15" s="11"/>
      <c r="T15" s="17">
        <f t="shared" si="3"/>
        <v>0</v>
      </c>
      <c r="U15" s="11"/>
      <c r="V15" s="11"/>
      <c r="W15" s="17">
        <f t="shared" si="4"/>
        <v>0</v>
      </c>
      <c r="X15" s="11">
        <v>0</v>
      </c>
      <c r="Y15" s="11">
        <v>1</v>
      </c>
      <c r="Z15" s="17">
        <f t="shared" si="5"/>
        <v>0</v>
      </c>
      <c r="AA15" s="11"/>
      <c r="AB15" s="11"/>
      <c r="AC15" s="17">
        <f t="shared" si="6"/>
        <v>0</v>
      </c>
      <c r="AD15" s="11"/>
      <c r="AE15" s="11"/>
      <c r="AF15" s="17">
        <f t="shared" si="7"/>
        <v>0</v>
      </c>
      <c r="AG15" s="11"/>
      <c r="AH15" s="11"/>
      <c r="AI15" s="17">
        <f t="shared" si="8"/>
        <v>0</v>
      </c>
    </row>
    <row r="16" spans="1:36" ht="15" customHeight="1" x14ac:dyDescent="0.35">
      <c r="A16" s="7">
        <v>13</v>
      </c>
      <c r="B16" s="8">
        <v>46188</v>
      </c>
      <c r="C16" s="9" t="s">
        <v>44</v>
      </c>
      <c r="D16" s="7" t="s">
        <v>75</v>
      </c>
      <c r="E16" s="10" t="s">
        <v>76</v>
      </c>
      <c r="F16" s="10" t="s">
        <v>77</v>
      </c>
      <c r="G16" s="11"/>
      <c r="H16" s="11"/>
      <c r="I16" s="11"/>
      <c r="J16" s="11"/>
      <c r="K16" s="12">
        <f t="shared" si="0"/>
        <v>0</v>
      </c>
      <c r="L16" s="11"/>
      <c r="M16" s="11"/>
      <c r="N16" s="12">
        <f t="shared" si="1"/>
        <v>0</v>
      </c>
      <c r="O16" s="11"/>
      <c r="P16" s="11"/>
      <c r="Q16" s="12">
        <f t="shared" si="2"/>
        <v>0</v>
      </c>
      <c r="R16" s="11"/>
      <c r="S16" s="11"/>
      <c r="T16" s="12">
        <f t="shared" si="3"/>
        <v>0</v>
      </c>
      <c r="U16" s="11"/>
      <c r="V16" s="11"/>
      <c r="W16" s="12">
        <f t="shared" si="4"/>
        <v>0</v>
      </c>
      <c r="X16" s="11">
        <v>3</v>
      </c>
      <c r="Y16" s="11">
        <v>0</v>
      </c>
      <c r="Z16" s="12">
        <f t="shared" si="5"/>
        <v>0</v>
      </c>
      <c r="AA16" s="11"/>
      <c r="AB16" s="11"/>
      <c r="AC16" s="12">
        <f t="shared" si="6"/>
        <v>0</v>
      </c>
      <c r="AD16" s="11"/>
      <c r="AE16" s="11"/>
      <c r="AF16" s="12">
        <f t="shared" si="7"/>
        <v>0</v>
      </c>
      <c r="AG16" s="11"/>
      <c r="AH16" s="11"/>
      <c r="AI16" s="12">
        <f t="shared" si="8"/>
        <v>0</v>
      </c>
    </row>
    <row r="17" spans="1:35" ht="15" customHeight="1" x14ac:dyDescent="0.35">
      <c r="A17" s="13">
        <v>14</v>
      </c>
      <c r="B17" s="14">
        <v>46188</v>
      </c>
      <c r="C17" s="15" t="s">
        <v>44</v>
      </c>
      <c r="D17" s="13" t="s">
        <v>78</v>
      </c>
      <c r="E17" s="16" t="s">
        <v>79</v>
      </c>
      <c r="F17" s="16" t="s">
        <v>80</v>
      </c>
      <c r="G17" s="11"/>
      <c r="H17" s="11"/>
      <c r="I17" s="11"/>
      <c r="J17" s="11"/>
      <c r="K17" s="17">
        <f t="shared" si="0"/>
        <v>0</v>
      </c>
      <c r="L17" s="11"/>
      <c r="M17" s="11"/>
      <c r="N17" s="17">
        <f t="shared" si="1"/>
        <v>0</v>
      </c>
      <c r="O17" s="11"/>
      <c r="P17" s="11"/>
      <c r="Q17" s="17">
        <f t="shared" si="2"/>
        <v>0</v>
      </c>
      <c r="R17" s="11"/>
      <c r="S17" s="11"/>
      <c r="T17" s="17">
        <f t="shared" si="3"/>
        <v>0</v>
      </c>
      <c r="U17" s="11"/>
      <c r="V17" s="11"/>
      <c r="W17" s="17">
        <f t="shared" si="4"/>
        <v>0</v>
      </c>
      <c r="X17" s="11">
        <v>3</v>
      </c>
      <c r="Y17" s="11">
        <v>2</v>
      </c>
      <c r="Z17" s="17">
        <f t="shared" si="5"/>
        <v>0</v>
      </c>
      <c r="AA17" s="11"/>
      <c r="AB17" s="11"/>
      <c r="AC17" s="17">
        <f t="shared" si="6"/>
        <v>0</v>
      </c>
      <c r="AD17" s="11"/>
      <c r="AE17" s="11"/>
      <c r="AF17" s="17">
        <f t="shared" si="7"/>
        <v>0</v>
      </c>
      <c r="AG17" s="11"/>
      <c r="AH17" s="11"/>
      <c r="AI17" s="17">
        <f t="shared" si="8"/>
        <v>0</v>
      </c>
    </row>
    <row r="18" spans="1:35" ht="15" customHeight="1" x14ac:dyDescent="0.35">
      <c r="A18" s="7">
        <v>15</v>
      </c>
      <c r="B18" s="8">
        <v>46188</v>
      </c>
      <c r="C18" s="9" t="s">
        <v>44</v>
      </c>
      <c r="D18" s="7" t="s">
        <v>75</v>
      </c>
      <c r="E18" s="10" t="s">
        <v>81</v>
      </c>
      <c r="F18" s="10" t="s">
        <v>82</v>
      </c>
      <c r="G18" s="11"/>
      <c r="H18" s="11"/>
      <c r="I18" s="11"/>
      <c r="J18" s="11"/>
      <c r="K18" s="12">
        <f t="shared" si="0"/>
        <v>0</v>
      </c>
      <c r="L18" s="11"/>
      <c r="M18" s="11"/>
      <c r="N18" s="12">
        <f t="shared" si="1"/>
        <v>0</v>
      </c>
      <c r="O18" s="11"/>
      <c r="P18" s="11"/>
      <c r="Q18" s="12">
        <f t="shared" si="2"/>
        <v>0</v>
      </c>
      <c r="R18" s="11"/>
      <c r="S18" s="11"/>
      <c r="T18" s="12">
        <f t="shared" si="3"/>
        <v>0</v>
      </c>
      <c r="U18" s="11"/>
      <c r="V18" s="11"/>
      <c r="W18" s="12">
        <f t="shared" si="4"/>
        <v>0</v>
      </c>
      <c r="X18" s="11">
        <v>1</v>
      </c>
      <c r="Y18" s="11">
        <v>1</v>
      </c>
      <c r="Z18" s="12">
        <f t="shared" si="5"/>
        <v>0</v>
      </c>
      <c r="AA18" s="11"/>
      <c r="AB18" s="11"/>
      <c r="AC18" s="12">
        <f t="shared" si="6"/>
        <v>0</v>
      </c>
      <c r="AD18" s="11"/>
      <c r="AE18" s="11"/>
      <c r="AF18" s="12">
        <f t="shared" si="7"/>
        <v>0</v>
      </c>
      <c r="AG18" s="11"/>
      <c r="AH18" s="11"/>
      <c r="AI18" s="12">
        <f t="shared" si="8"/>
        <v>0</v>
      </c>
    </row>
    <row r="19" spans="1:35" ht="15" customHeight="1" x14ac:dyDescent="0.35">
      <c r="A19" s="13">
        <v>16</v>
      </c>
      <c r="B19" s="14">
        <v>46188</v>
      </c>
      <c r="C19" s="15" t="s">
        <v>44</v>
      </c>
      <c r="D19" s="13" t="s">
        <v>78</v>
      </c>
      <c r="E19" s="16" t="s">
        <v>83</v>
      </c>
      <c r="F19" s="16" t="s">
        <v>84</v>
      </c>
      <c r="G19" s="11"/>
      <c r="H19" s="11"/>
      <c r="I19" s="11"/>
      <c r="J19" s="11"/>
      <c r="K19" s="17">
        <f t="shared" si="0"/>
        <v>0</v>
      </c>
      <c r="L19" s="11"/>
      <c r="M19" s="11"/>
      <c r="N19" s="17">
        <f t="shared" si="1"/>
        <v>0</v>
      </c>
      <c r="O19" s="11"/>
      <c r="P19" s="11"/>
      <c r="Q19" s="17">
        <f t="shared" si="2"/>
        <v>0</v>
      </c>
      <c r="R19" s="11"/>
      <c r="S19" s="11"/>
      <c r="T19" s="17">
        <f t="shared" si="3"/>
        <v>0</v>
      </c>
      <c r="U19" s="11"/>
      <c r="V19" s="11"/>
      <c r="W19" s="17">
        <f t="shared" si="4"/>
        <v>0</v>
      </c>
      <c r="X19" s="11">
        <v>0</v>
      </c>
      <c r="Y19" s="11">
        <v>0</v>
      </c>
      <c r="Z19" s="17">
        <f t="shared" si="5"/>
        <v>0</v>
      </c>
      <c r="AA19" s="11"/>
      <c r="AB19" s="11"/>
      <c r="AC19" s="17">
        <f t="shared" si="6"/>
        <v>0</v>
      </c>
      <c r="AD19" s="11"/>
      <c r="AE19" s="11"/>
      <c r="AF19" s="17">
        <f t="shared" si="7"/>
        <v>0</v>
      </c>
      <c r="AG19" s="11"/>
      <c r="AH19" s="11"/>
      <c r="AI19" s="17">
        <f t="shared" si="8"/>
        <v>0</v>
      </c>
    </row>
    <row r="20" spans="1:35" ht="15" customHeight="1" x14ac:dyDescent="0.35">
      <c r="A20" s="7">
        <v>17</v>
      </c>
      <c r="B20" s="8">
        <v>46189</v>
      </c>
      <c r="C20" s="9" t="s">
        <v>44</v>
      </c>
      <c r="D20" s="7" t="s">
        <v>85</v>
      </c>
      <c r="E20" s="10" t="s">
        <v>86</v>
      </c>
      <c r="F20" s="10" t="s">
        <v>87</v>
      </c>
      <c r="G20" s="11"/>
      <c r="H20" s="11"/>
      <c r="I20" s="11"/>
      <c r="J20" s="11"/>
      <c r="K20" s="12">
        <f t="shared" si="0"/>
        <v>0</v>
      </c>
      <c r="L20" s="11"/>
      <c r="M20" s="11"/>
      <c r="N20" s="12">
        <f t="shared" si="1"/>
        <v>0</v>
      </c>
      <c r="O20" s="11"/>
      <c r="P20" s="11"/>
      <c r="Q20" s="12">
        <f t="shared" si="2"/>
        <v>0</v>
      </c>
      <c r="R20" s="11"/>
      <c r="S20" s="11"/>
      <c r="T20" s="12">
        <f t="shared" si="3"/>
        <v>0</v>
      </c>
      <c r="U20" s="11"/>
      <c r="V20" s="11"/>
      <c r="W20" s="12">
        <f t="shared" si="4"/>
        <v>0</v>
      </c>
      <c r="X20" s="11">
        <v>3</v>
      </c>
      <c r="Y20" s="11">
        <v>0</v>
      </c>
      <c r="Z20" s="12">
        <f t="shared" si="5"/>
        <v>0</v>
      </c>
      <c r="AA20" s="11"/>
      <c r="AB20" s="11"/>
      <c r="AC20" s="12">
        <f t="shared" si="6"/>
        <v>0</v>
      </c>
      <c r="AD20" s="11"/>
      <c r="AE20" s="11"/>
      <c r="AF20" s="12">
        <f t="shared" si="7"/>
        <v>0</v>
      </c>
      <c r="AG20" s="11"/>
      <c r="AH20" s="11"/>
      <c r="AI20" s="12">
        <f t="shared" si="8"/>
        <v>0</v>
      </c>
    </row>
    <row r="21" spans="1:35" ht="15" customHeight="1" x14ac:dyDescent="0.35">
      <c r="A21" s="13">
        <v>18</v>
      </c>
      <c r="B21" s="14">
        <v>46189</v>
      </c>
      <c r="C21" s="15" t="s">
        <v>44</v>
      </c>
      <c r="D21" s="13" t="s">
        <v>85</v>
      </c>
      <c r="E21" s="16" t="s">
        <v>88</v>
      </c>
      <c r="F21" s="16" t="s">
        <v>89</v>
      </c>
      <c r="G21" s="11"/>
      <c r="H21" s="11"/>
      <c r="I21" s="11"/>
      <c r="J21" s="11"/>
      <c r="K21" s="17">
        <f t="shared" si="0"/>
        <v>0</v>
      </c>
      <c r="L21" s="11"/>
      <c r="M21" s="11"/>
      <c r="N21" s="17">
        <f t="shared" si="1"/>
        <v>0</v>
      </c>
      <c r="O21" s="11"/>
      <c r="P21" s="11"/>
      <c r="Q21" s="17">
        <f t="shared" si="2"/>
        <v>0</v>
      </c>
      <c r="R21" s="11"/>
      <c r="S21" s="11"/>
      <c r="T21" s="17">
        <f t="shared" si="3"/>
        <v>0</v>
      </c>
      <c r="U21" s="11"/>
      <c r="V21" s="11"/>
      <c r="W21" s="17">
        <f t="shared" si="4"/>
        <v>0</v>
      </c>
      <c r="X21" s="11">
        <v>0</v>
      </c>
      <c r="Y21" s="11">
        <v>3</v>
      </c>
      <c r="Z21" s="17">
        <f t="shared" si="5"/>
        <v>0</v>
      </c>
      <c r="AA21" s="11"/>
      <c r="AB21" s="11"/>
      <c r="AC21" s="17">
        <f t="shared" si="6"/>
        <v>0</v>
      </c>
      <c r="AD21" s="11"/>
      <c r="AE21" s="11"/>
      <c r="AF21" s="17">
        <f t="shared" si="7"/>
        <v>0</v>
      </c>
      <c r="AG21" s="11"/>
      <c r="AH21" s="11"/>
      <c r="AI21" s="17">
        <f t="shared" si="8"/>
        <v>0</v>
      </c>
    </row>
    <row r="22" spans="1:35" ht="15" customHeight="1" x14ac:dyDescent="0.35">
      <c r="A22" s="7">
        <v>19</v>
      </c>
      <c r="B22" s="8">
        <v>46189</v>
      </c>
      <c r="C22" s="9" t="s">
        <v>44</v>
      </c>
      <c r="D22" s="7" t="s">
        <v>90</v>
      </c>
      <c r="E22" s="10" t="s">
        <v>91</v>
      </c>
      <c r="F22" s="10" t="s">
        <v>92</v>
      </c>
      <c r="G22" s="11"/>
      <c r="H22" s="11"/>
      <c r="I22" s="11"/>
      <c r="J22" s="11"/>
      <c r="K22" s="12">
        <f t="shared" si="0"/>
        <v>0</v>
      </c>
      <c r="L22" s="11">
        <v>3</v>
      </c>
      <c r="M22" s="11">
        <v>0</v>
      </c>
      <c r="N22" s="12">
        <f t="shared" si="1"/>
        <v>0</v>
      </c>
      <c r="O22" s="11"/>
      <c r="P22" s="11"/>
      <c r="Q22" s="12">
        <f t="shared" si="2"/>
        <v>0</v>
      </c>
      <c r="R22" s="11"/>
      <c r="S22" s="11"/>
      <c r="T22" s="12">
        <f t="shared" si="3"/>
        <v>0</v>
      </c>
      <c r="U22" s="11"/>
      <c r="V22" s="11"/>
      <c r="W22" s="12">
        <f t="shared" si="4"/>
        <v>0</v>
      </c>
      <c r="X22" s="11">
        <v>2</v>
      </c>
      <c r="Y22" s="11">
        <v>0</v>
      </c>
      <c r="Z22" s="12">
        <f t="shared" si="5"/>
        <v>0</v>
      </c>
      <c r="AA22" s="11"/>
      <c r="AB22" s="11"/>
      <c r="AC22" s="12">
        <f t="shared" si="6"/>
        <v>0</v>
      </c>
      <c r="AD22" s="11"/>
      <c r="AE22" s="11"/>
      <c r="AF22" s="12">
        <f t="shared" si="7"/>
        <v>0</v>
      </c>
      <c r="AG22" s="11"/>
      <c r="AH22" s="11"/>
      <c r="AI22" s="12">
        <f t="shared" si="8"/>
        <v>0</v>
      </c>
    </row>
    <row r="23" spans="1:35" ht="15" customHeight="1" x14ac:dyDescent="0.35">
      <c r="A23" s="13">
        <v>20</v>
      </c>
      <c r="B23" s="14">
        <v>46189</v>
      </c>
      <c r="C23" s="15" t="s">
        <v>44</v>
      </c>
      <c r="D23" s="13" t="s">
        <v>90</v>
      </c>
      <c r="E23" s="16" t="s">
        <v>93</v>
      </c>
      <c r="F23" s="16" t="s">
        <v>94</v>
      </c>
      <c r="G23" s="11"/>
      <c r="H23" s="11"/>
      <c r="I23" s="11"/>
      <c r="J23" s="11"/>
      <c r="K23" s="17">
        <f t="shared" si="0"/>
        <v>0</v>
      </c>
      <c r="L23" s="11"/>
      <c r="M23" s="11"/>
      <c r="N23" s="17">
        <f t="shared" si="1"/>
        <v>0</v>
      </c>
      <c r="O23" s="11"/>
      <c r="P23" s="11"/>
      <c r="Q23" s="17">
        <f t="shared" si="2"/>
        <v>0</v>
      </c>
      <c r="R23" s="11"/>
      <c r="S23" s="11"/>
      <c r="T23" s="17">
        <f t="shared" si="3"/>
        <v>0</v>
      </c>
      <c r="U23" s="11"/>
      <c r="V23" s="11"/>
      <c r="W23" s="17">
        <f t="shared" si="4"/>
        <v>0</v>
      </c>
      <c r="X23" s="11">
        <v>1</v>
      </c>
      <c r="Y23" s="11">
        <v>0</v>
      </c>
      <c r="Z23" s="17">
        <f t="shared" si="5"/>
        <v>0</v>
      </c>
      <c r="AA23" s="11"/>
      <c r="AB23" s="11"/>
      <c r="AC23" s="17">
        <f t="shared" si="6"/>
        <v>0</v>
      </c>
      <c r="AD23" s="11"/>
      <c r="AE23" s="11"/>
      <c r="AF23" s="17">
        <f t="shared" si="7"/>
        <v>0</v>
      </c>
      <c r="AG23" s="11"/>
      <c r="AH23" s="11"/>
      <c r="AI23" s="17">
        <f t="shared" si="8"/>
        <v>0</v>
      </c>
    </row>
    <row r="24" spans="1:35" ht="15" customHeight="1" x14ac:dyDescent="0.35">
      <c r="A24" s="7">
        <v>21</v>
      </c>
      <c r="B24" s="8">
        <v>46190</v>
      </c>
      <c r="C24" s="9" t="s">
        <v>44</v>
      </c>
      <c r="D24" s="7" t="s">
        <v>95</v>
      </c>
      <c r="E24" s="10" t="s">
        <v>96</v>
      </c>
      <c r="F24" s="10" t="s">
        <v>97</v>
      </c>
      <c r="G24" s="11"/>
      <c r="H24" s="11"/>
      <c r="I24" s="11"/>
      <c r="J24" s="11"/>
      <c r="K24" s="12">
        <f t="shared" si="0"/>
        <v>0</v>
      </c>
      <c r="L24" s="11"/>
      <c r="M24" s="11"/>
      <c r="N24" s="12">
        <f t="shared" si="1"/>
        <v>0</v>
      </c>
      <c r="O24" s="11"/>
      <c r="P24" s="11"/>
      <c r="Q24" s="12">
        <f t="shared" si="2"/>
        <v>0</v>
      </c>
      <c r="R24" s="11"/>
      <c r="S24" s="11"/>
      <c r="T24" s="12">
        <f t="shared" si="3"/>
        <v>0</v>
      </c>
      <c r="U24" s="11"/>
      <c r="V24" s="11"/>
      <c r="W24" s="12">
        <f t="shared" si="4"/>
        <v>0</v>
      </c>
      <c r="X24" s="11">
        <v>2</v>
      </c>
      <c r="Y24" s="11">
        <v>0</v>
      </c>
      <c r="Z24" s="12">
        <f t="shared" si="5"/>
        <v>0</v>
      </c>
      <c r="AA24" s="11"/>
      <c r="AB24" s="11"/>
      <c r="AC24" s="12">
        <f t="shared" si="6"/>
        <v>0</v>
      </c>
      <c r="AD24" s="11"/>
      <c r="AE24" s="11"/>
      <c r="AF24" s="12">
        <f t="shared" si="7"/>
        <v>0</v>
      </c>
      <c r="AG24" s="11"/>
      <c r="AH24" s="11"/>
      <c r="AI24" s="12">
        <f t="shared" si="8"/>
        <v>0</v>
      </c>
    </row>
    <row r="25" spans="1:35" ht="15" customHeight="1" x14ac:dyDescent="0.35">
      <c r="A25" s="13">
        <v>22</v>
      </c>
      <c r="B25" s="14">
        <v>46190</v>
      </c>
      <c r="C25" s="15" t="s">
        <v>44</v>
      </c>
      <c r="D25" s="13" t="s">
        <v>98</v>
      </c>
      <c r="E25" s="16" t="s">
        <v>99</v>
      </c>
      <c r="F25" s="16" t="s">
        <v>100</v>
      </c>
      <c r="G25" s="11"/>
      <c r="H25" s="11"/>
      <c r="I25" s="11"/>
      <c r="J25" s="11"/>
      <c r="K25" s="17">
        <f t="shared" si="0"/>
        <v>0</v>
      </c>
      <c r="L25" s="11"/>
      <c r="M25" s="11"/>
      <c r="N25" s="17">
        <f t="shared" si="1"/>
        <v>0</v>
      </c>
      <c r="O25" s="11"/>
      <c r="P25" s="11"/>
      <c r="Q25" s="17">
        <f t="shared" si="2"/>
        <v>0</v>
      </c>
      <c r="R25" s="11"/>
      <c r="S25" s="11"/>
      <c r="T25" s="17">
        <f t="shared" si="3"/>
        <v>0</v>
      </c>
      <c r="U25" s="11"/>
      <c r="V25" s="11"/>
      <c r="W25" s="17">
        <f t="shared" si="4"/>
        <v>0</v>
      </c>
      <c r="X25" s="11">
        <v>3</v>
      </c>
      <c r="Y25" s="11">
        <v>1</v>
      </c>
      <c r="Z25" s="17">
        <f t="shared" si="5"/>
        <v>0</v>
      </c>
      <c r="AA25" s="11"/>
      <c r="AB25" s="11"/>
      <c r="AC25" s="17">
        <f t="shared" si="6"/>
        <v>0</v>
      </c>
      <c r="AD25" s="11"/>
      <c r="AE25" s="11"/>
      <c r="AF25" s="17">
        <f t="shared" si="7"/>
        <v>0</v>
      </c>
      <c r="AG25" s="11"/>
      <c r="AH25" s="11"/>
      <c r="AI25" s="17">
        <f t="shared" si="8"/>
        <v>0</v>
      </c>
    </row>
    <row r="26" spans="1:35" ht="15" customHeight="1" x14ac:dyDescent="0.35">
      <c r="A26" s="7">
        <v>23</v>
      </c>
      <c r="B26" s="8">
        <v>46190</v>
      </c>
      <c r="C26" s="9" t="s">
        <v>44</v>
      </c>
      <c r="D26" s="7" t="s">
        <v>98</v>
      </c>
      <c r="E26" s="10" t="s">
        <v>101</v>
      </c>
      <c r="F26" s="10" t="s">
        <v>102</v>
      </c>
      <c r="G26" s="11"/>
      <c r="H26" s="11"/>
      <c r="I26" s="11"/>
      <c r="J26" s="11"/>
      <c r="K26" s="12">
        <f t="shared" si="0"/>
        <v>0</v>
      </c>
      <c r="L26" s="11"/>
      <c r="M26" s="11"/>
      <c r="N26" s="12">
        <f t="shared" si="1"/>
        <v>0</v>
      </c>
      <c r="O26" s="11"/>
      <c r="P26" s="11"/>
      <c r="Q26" s="12">
        <f t="shared" si="2"/>
        <v>0</v>
      </c>
      <c r="R26" s="11"/>
      <c r="S26" s="11"/>
      <c r="T26" s="12">
        <f t="shared" si="3"/>
        <v>0</v>
      </c>
      <c r="U26" s="11"/>
      <c r="V26" s="11"/>
      <c r="W26" s="12">
        <f t="shared" si="4"/>
        <v>0</v>
      </c>
      <c r="X26" s="11">
        <v>1</v>
      </c>
      <c r="Y26" s="11">
        <v>1</v>
      </c>
      <c r="Z26" s="12">
        <f t="shared" si="5"/>
        <v>0</v>
      </c>
      <c r="AA26" s="11"/>
      <c r="AB26" s="11"/>
      <c r="AC26" s="12">
        <f t="shared" si="6"/>
        <v>0</v>
      </c>
      <c r="AD26" s="11"/>
      <c r="AE26" s="11"/>
      <c r="AF26" s="12">
        <f t="shared" si="7"/>
        <v>0</v>
      </c>
      <c r="AG26" s="11"/>
      <c r="AH26" s="11"/>
      <c r="AI26" s="12">
        <f t="shared" si="8"/>
        <v>0</v>
      </c>
    </row>
    <row r="27" spans="1:35" ht="15" customHeight="1" x14ac:dyDescent="0.35">
      <c r="A27" s="13">
        <v>24</v>
      </c>
      <c r="B27" s="14">
        <v>46190</v>
      </c>
      <c r="C27" s="15" t="s">
        <v>44</v>
      </c>
      <c r="D27" s="13" t="s">
        <v>95</v>
      </c>
      <c r="E27" s="16" t="s">
        <v>103</v>
      </c>
      <c r="F27" s="16" t="s">
        <v>104</v>
      </c>
      <c r="G27" s="11"/>
      <c r="H27" s="11"/>
      <c r="I27" s="11"/>
      <c r="J27" s="11"/>
      <c r="K27" s="17">
        <f t="shared" si="0"/>
        <v>0</v>
      </c>
      <c r="L27" s="11"/>
      <c r="M27" s="11"/>
      <c r="N27" s="17">
        <f t="shared" si="1"/>
        <v>0</v>
      </c>
      <c r="O27" s="11"/>
      <c r="P27" s="11"/>
      <c r="Q27" s="17">
        <f t="shared" si="2"/>
        <v>0</v>
      </c>
      <c r="R27" s="11"/>
      <c r="S27" s="11"/>
      <c r="T27" s="17">
        <f t="shared" si="3"/>
        <v>0</v>
      </c>
      <c r="U27" s="11"/>
      <c r="V27" s="11"/>
      <c r="W27" s="17">
        <f t="shared" si="4"/>
        <v>0</v>
      </c>
      <c r="X27" s="11">
        <v>0</v>
      </c>
      <c r="Y27" s="11">
        <v>2</v>
      </c>
      <c r="Z27" s="17">
        <f t="shared" si="5"/>
        <v>0</v>
      </c>
      <c r="AA27" s="11"/>
      <c r="AB27" s="11"/>
      <c r="AC27" s="17">
        <f t="shared" si="6"/>
        <v>0</v>
      </c>
      <c r="AD27" s="11"/>
      <c r="AE27" s="11"/>
      <c r="AF27" s="17">
        <f t="shared" si="7"/>
        <v>0</v>
      </c>
      <c r="AG27" s="11"/>
      <c r="AH27" s="11"/>
      <c r="AI27" s="17">
        <f t="shared" si="8"/>
        <v>0</v>
      </c>
    </row>
    <row r="28" spans="1:35" ht="15" customHeight="1" x14ac:dyDescent="0.35">
      <c r="A28" s="7">
        <v>25</v>
      </c>
      <c r="B28" s="8">
        <v>46191</v>
      </c>
      <c r="C28" s="9" t="s">
        <v>44</v>
      </c>
      <c r="D28" s="7" t="s">
        <v>45</v>
      </c>
      <c r="E28" s="10" t="s">
        <v>49</v>
      </c>
      <c r="F28" s="10" t="s">
        <v>47</v>
      </c>
      <c r="G28" s="11"/>
      <c r="H28" s="11"/>
      <c r="I28" s="11"/>
      <c r="J28" s="11"/>
      <c r="K28" s="12">
        <f t="shared" si="0"/>
        <v>0</v>
      </c>
      <c r="L28" s="11"/>
      <c r="M28" s="11"/>
      <c r="N28" s="12">
        <f t="shared" si="1"/>
        <v>0</v>
      </c>
      <c r="O28" s="11"/>
      <c r="P28" s="11"/>
      <c r="Q28" s="12">
        <f t="shared" si="2"/>
        <v>0</v>
      </c>
      <c r="R28" s="11"/>
      <c r="S28" s="11"/>
      <c r="T28" s="12">
        <f t="shared" si="3"/>
        <v>0</v>
      </c>
      <c r="U28" s="11"/>
      <c r="V28" s="11"/>
      <c r="W28" s="12">
        <f t="shared" si="4"/>
        <v>0</v>
      </c>
      <c r="X28" s="11">
        <v>0</v>
      </c>
      <c r="Y28" s="11">
        <v>0</v>
      </c>
      <c r="Z28" s="12">
        <f t="shared" si="5"/>
        <v>0</v>
      </c>
      <c r="AA28" s="11"/>
      <c r="AB28" s="11"/>
      <c r="AC28" s="12">
        <f t="shared" si="6"/>
        <v>0</v>
      </c>
      <c r="AD28" s="11"/>
      <c r="AE28" s="11"/>
      <c r="AF28" s="12">
        <f t="shared" si="7"/>
        <v>0</v>
      </c>
      <c r="AG28" s="11"/>
      <c r="AH28" s="11"/>
      <c r="AI28" s="12">
        <f t="shared" si="8"/>
        <v>0</v>
      </c>
    </row>
    <row r="29" spans="1:35" ht="15" customHeight="1" x14ac:dyDescent="0.35">
      <c r="A29" s="13">
        <v>26</v>
      </c>
      <c r="B29" s="14">
        <v>46191</v>
      </c>
      <c r="C29" s="15" t="s">
        <v>44</v>
      </c>
      <c r="D29" s="13" t="s">
        <v>50</v>
      </c>
      <c r="E29" s="16" t="s">
        <v>57</v>
      </c>
      <c r="F29" s="16" t="s">
        <v>52</v>
      </c>
      <c r="G29" s="11"/>
      <c r="H29" s="11"/>
      <c r="I29" s="11"/>
      <c r="J29" s="11"/>
      <c r="K29" s="17">
        <f t="shared" si="0"/>
        <v>0</v>
      </c>
      <c r="L29" s="11"/>
      <c r="M29" s="11"/>
      <c r="N29" s="17">
        <f t="shared" si="1"/>
        <v>0</v>
      </c>
      <c r="O29" s="11"/>
      <c r="P29" s="11"/>
      <c r="Q29" s="17">
        <f t="shared" si="2"/>
        <v>0</v>
      </c>
      <c r="R29" s="11"/>
      <c r="S29" s="11"/>
      <c r="T29" s="17">
        <f t="shared" si="3"/>
        <v>0</v>
      </c>
      <c r="U29" s="11"/>
      <c r="V29" s="11"/>
      <c r="W29" s="17">
        <f t="shared" si="4"/>
        <v>0</v>
      </c>
      <c r="X29" s="11">
        <v>1</v>
      </c>
      <c r="Y29" s="11">
        <v>1</v>
      </c>
      <c r="Z29" s="17">
        <f t="shared" si="5"/>
        <v>0</v>
      </c>
      <c r="AA29" s="11"/>
      <c r="AB29" s="11"/>
      <c r="AC29" s="17">
        <f t="shared" si="6"/>
        <v>0</v>
      </c>
      <c r="AD29" s="11"/>
      <c r="AE29" s="11"/>
      <c r="AF29" s="17">
        <f t="shared" si="7"/>
        <v>0</v>
      </c>
      <c r="AG29" s="11"/>
      <c r="AH29" s="11"/>
      <c r="AI29" s="17">
        <f t="shared" si="8"/>
        <v>0</v>
      </c>
    </row>
    <row r="30" spans="1:35" ht="15" customHeight="1" x14ac:dyDescent="0.35">
      <c r="A30" s="7">
        <v>27</v>
      </c>
      <c r="B30" s="8">
        <v>46191</v>
      </c>
      <c r="C30" s="9" t="s">
        <v>44</v>
      </c>
      <c r="D30" s="7" t="s">
        <v>50</v>
      </c>
      <c r="E30" s="10" t="s">
        <v>51</v>
      </c>
      <c r="F30" s="10" t="s">
        <v>56</v>
      </c>
      <c r="G30" s="11"/>
      <c r="H30" s="11"/>
      <c r="I30" s="11"/>
      <c r="J30" s="11"/>
      <c r="K30" s="12">
        <f t="shared" si="0"/>
        <v>0</v>
      </c>
      <c r="L30" s="11"/>
      <c r="M30" s="11"/>
      <c r="N30" s="12">
        <f t="shared" si="1"/>
        <v>0</v>
      </c>
      <c r="O30" s="11"/>
      <c r="P30" s="11"/>
      <c r="Q30" s="12">
        <f t="shared" si="2"/>
        <v>0</v>
      </c>
      <c r="R30" s="11"/>
      <c r="S30" s="11"/>
      <c r="T30" s="12">
        <f t="shared" si="3"/>
        <v>0</v>
      </c>
      <c r="U30" s="11"/>
      <c r="V30" s="11"/>
      <c r="W30" s="12">
        <f t="shared" si="4"/>
        <v>0</v>
      </c>
      <c r="X30" s="11">
        <v>2</v>
      </c>
      <c r="Y30" s="11">
        <v>1</v>
      </c>
      <c r="Z30" s="12">
        <f t="shared" si="5"/>
        <v>0</v>
      </c>
      <c r="AA30" s="11"/>
      <c r="AB30" s="11"/>
      <c r="AC30" s="12">
        <f t="shared" si="6"/>
        <v>0</v>
      </c>
      <c r="AD30" s="11"/>
      <c r="AE30" s="11"/>
      <c r="AF30" s="12">
        <f t="shared" si="7"/>
        <v>0</v>
      </c>
      <c r="AG30" s="11"/>
      <c r="AH30" s="11"/>
      <c r="AI30" s="12">
        <f t="shared" si="8"/>
        <v>0</v>
      </c>
    </row>
    <row r="31" spans="1:35" ht="15" customHeight="1" x14ac:dyDescent="0.35">
      <c r="A31" s="13">
        <v>28</v>
      </c>
      <c r="B31" s="14">
        <v>46191</v>
      </c>
      <c r="C31" s="15" t="s">
        <v>44</v>
      </c>
      <c r="D31" s="13" t="s">
        <v>45</v>
      </c>
      <c r="E31" s="16" t="s">
        <v>46</v>
      </c>
      <c r="F31" s="16" t="s">
        <v>48</v>
      </c>
      <c r="G31" s="11"/>
      <c r="H31" s="11"/>
      <c r="I31" s="11"/>
      <c r="J31" s="11"/>
      <c r="K31" s="17">
        <f t="shared" si="0"/>
        <v>0</v>
      </c>
      <c r="L31" s="11"/>
      <c r="M31" s="11"/>
      <c r="N31" s="17">
        <f t="shared" si="1"/>
        <v>0</v>
      </c>
      <c r="O31" s="11"/>
      <c r="P31" s="11"/>
      <c r="Q31" s="17">
        <f t="shared" si="2"/>
        <v>0</v>
      </c>
      <c r="R31" s="11"/>
      <c r="S31" s="11"/>
      <c r="T31" s="17">
        <f t="shared" si="3"/>
        <v>0</v>
      </c>
      <c r="U31" s="11"/>
      <c r="V31" s="11"/>
      <c r="W31" s="17">
        <f t="shared" si="4"/>
        <v>0</v>
      </c>
      <c r="X31" s="11">
        <v>2</v>
      </c>
      <c r="Y31" s="11">
        <v>2</v>
      </c>
      <c r="Z31" s="17">
        <f t="shared" si="5"/>
        <v>0</v>
      </c>
      <c r="AA31" s="11"/>
      <c r="AB31" s="11"/>
      <c r="AC31" s="17">
        <f t="shared" si="6"/>
        <v>0</v>
      </c>
      <c r="AD31" s="11"/>
      <c r="AE31" s="11"/>
      <c r="AF31" s="17">
        <f t="shared" si="7"/>
        <v>0</v>
      </c>
      <c r="AG31" s="11"/>
      <c r="AH31" s="11"/>
      <c r="AI31" s="17">
        <f t="shared" si="8"/>
        <v>0</v>
      </c>
    </row>
    <row r="32" spans="1:35" ht="15" customHeight="1" x14ac:dyDescent="0.35">
      <c r="A32" s="7">
        <v>29</v>
      </c>
      <c r="B32" s="8">
        <v>46192</v>
      </c>
      <c r="C32" s="9" t="s">
        <v>44</v>
      </c>
      <c r="D32" s="7" t="s">
        <v>53</v>
      </c>
      <c r="E32" s="10" t="s">
        <v>54</v>
      </c>
      <c r="F32" s="10" t="s">
        <v>63</v>
      </c>
      <c r="G32" s="11"/>
      <c r="H32" s="11"/>
      <c r="I32" s="11"/>
      <c r="J32" s="11"/>
      <c r="K32" s="12">
        <f t="shared" si="0"/>
        <v>0</v>
      </c>
      <c r="L32" s="11"/>
      <c r="M32" s="11"/>
      <c r="N32" s="12">
        <f t="shared" si="1"/>
        <v>0</v>
      </c>
      <c r="O32" s="11"/>
      <c r="P32" s="11"/>
      <c r="Q32" s="12">
        <f t="shared" si="2"/>
        <v>0</v>
      </c>
      <c r="R32" s="11"/>
      <c r="S32" s="11"/>
      <c r="T32" s="12">
        <f t="shared" si="3"/>
        <v>0</v>
      </c>
      <c r="U32" s="11"/>
      <c r="V32" s="11"/>
      <c r="W32" s="12">
        <f t="shared" si="4"/>
        <v>0</v>
      </c>
      <c r="X32" s="11">
        <v>1</v>
      </c>
      <c r="Y32" s="11">
        <v>1</v>
      </c>
      <c r="Z32" s="12">
        <f t="shared" si="5"/>
        <v>0</v>
      </c>
      <c r="AA32" s="11"/>
      <c r="AB32" s="11"/>
      <c r="AC32" s="12">
        <f t="shared" si="6"/>
        <v>0</v>
      </c>
      <c r="AD32" s="11"/>
      <c r="AE32" s="11"/>
      <c r="AF32" s="12">
        <f t="shared" si="7"/>
        <v>0</v>
      </c>
      <c r="AG32" s="11"/>
      <c r="AH32" s="11"/>
      <c r="AI32" s="12">
        <f t="shared" si="8"/>
        <v>0</v>
      </c>
    </row>
    <row r="33" spans="1:35" ht="15" customHeight="1" x14ac:dyDescent="0.35">
      <c r="A33" s="13">
        <v>30</v>
      </c>
      <c r="B33" s="14">
        <v>46192</v>
      </c>
      <c r="C33" s="15" t="s">
        <v>44</v>
      </c>
      <c r="D33" s="13" t="s">
        <v>58</v>
      </c>
      <c r="E33" s="16" t="s">
        <v>62</v>
      </c>
      <c r="F33" s="16" t="s">
        <v>60</v>
      </c>
      <c r="G33" s="11"/>
      <c r="H33" s="11"/>
      <c r="I33" s="11"/>
      <c r="J33" s="11"/>
      <c r="K33" s="17">
        <f t="shared" si="0"/>
        <v>0</v>
      </c>
      <c r="L33" s="11"/>
      <c r="M33" s="11"/>
      <c r="N33" s="17">
        <f t="shared" si="1"/>
        <v>0</v>
      </c>
      <c r="O33" s="11"/>
      <c r="P33" s="11"/>
      <c r="Q33" s="17">
        <f t="shared" si="2"/>
        <v>0</v>
      </c>
      <c r="R33" s="11"/>
      <c r="S33" s="11"/>
      <c r="T33" s="17">
        <f t="shared" si="3"/>
        <v>0</v>
      </c>
      <c r="U33" s="11"/>
      <c r="V33" s="11"/>
      <c r="W33" s="17">
        <f t="shared" si="4"/>
        <v>0</v>
      </c>
      <c r="X33" s="11">
        <v>2</v>
      </c>
      <c r="Y33" s="11">
        <v>0</v>
      </c>
      <c r="Z33" s="17">
        <f t="shared" si="5"/>
        <v>0</v>
      </c>
      <c r="AA33" s="11"/>
      <c r="AB33" s="11"/>
      <c r="AC33" s="17">
        <f t="shared" si="6"/>
        <v>0</v>
      </c>
      <c r="AD33" s="11"/>
      <c r="AE33" s="11"/>
      <c r="AF33" s="17">
        <f t="shared" si="7"/>
        <v>0</v>
      </c>
      <c r="AG33" s="11"/>
      <c r="AH33" s="11"/>
      <c r="AI33" s="17">
        <f t="shared" si="8"/>
        <v>0</v>
      </c>
    </row>
    <row r="34" spans="1:35" ht="15" customHeight="1" x14ac:dyDescent="0.35">
      <c r="A34" s="7">
        <v>31</v>
      </c>
      <c r="B34" s="8">
        <v>46192</v>
      </c>
      <c r="C34" s="9" t="s">
        <v>44</v>
      </c>
      <c r="D34" s="7" t="s">
        <v>58</v>
      </c>
      <c r="E34" s="10" t="s">
        <v>59</v>
      </c>
      <c r="F34" s="10" t="s">
        <v>61</v>
      </c>
      <c r="G34" s="11"/>
      <c r="H34" s="11"/>
      <c r="I34" s="11"/>
      <c r="J34" s="11"/>
      <c r="K34" s="12">
        <f t="shared" si="0"/>
        <v>0</v>
      </c>
      <c r="L34" s="11"/>
      <c r="M34" s="11"/>
      <c r="N34" s="12">
        <f t="shared" si="1"/>
        <v>0</v>
      </c>
      <c r="O34" s="11"/>
      <c r="P34" s="11"/>
      <c r="Q34" s="12">
        <f t="shared" si="2"/>
        <v>0</v>
      </c>
      <c r="R34" s="11"/>
      <c r="S34" s="11"/>
      <c r="T34" s="12">
        <f t="shared" si="3"/>
        <v>0</v>
      </c>
      <c r="U34" s="11"/>
      <c r="V34" s="11"/>
      <c r="W34" s="12">
        <f t="shared" si="4"/>
        <v>0</v>
      </c>
      <c r="X34" s="11">
        <v>2</v>
      </c>
      <c r="Y34" s="11">
        <v>0</v>
      </c>
      <c r="Z34" s="12">
        <f t="shared" si="5"/>
        <v>0</v>
      </c>
      <c r="AA34" s="11"/>
      <c r="AB34" s="11"/>
      <c r="AC34" s="12">
        <f t="shared" si="6"/>
        <v>0</v>
      </c>
      <c r="AD34" s="11"/>
      <c r="AE34" s="11"/>
      <c r="AF34" s="12">
        <f t="shared" si="7"/>
        <v>0</v>
      </c>
      <c r="AG34" s="11"/>
      <c r="AH34" s="11"/>
      <c r="AI34" s="12">
        <f t="shared" si="8"/>
        <v>0</v>
      </c>
    </row>
    <row r="35" spans="1:35" ht="15" customHeight="1" x14ac:dyDescent="0.35">
      <c r="A35" s="13">
        <v>32</v>
      </c>
      <c r="B35" s="14">
        <v>46192</v>
      </c>
      <c r="C35" s="15" t="s">
        <v>44</v>
      </c>
      <c r="D35" s="13" t="s">
        <v>53</v>
      </c>
      <c r="E35" s="16" t="s">
        <v>64</v>
      </c>
      <c r="F35" s="16" t="s">
        <v>55</v>
      </c>
      <c r="G35" s="11"/>
      <c r="H35" s="11"/>
      <c r="I35" s="11"/>
      <c r="J35" s="11"/>
      <c r="K35" s="17">
        <f t="shared" si="0"/>
        <v>0</v>
      </c>
      <c r="L35" s="11"/>
      <c r="M35" s="11"/>
      <c r="N35" s="17">
        <f t="shared" si="1"/>
        <v>0</v>
      </c>
      <c r="O35" s="11"/>
      <c r="P35" s="11"/>
      <c r="Q35" s="17">
        <f t="shared" si="2"/>
        <v>0</v>
      </c>
      <c r="R35" s="11"/>
      <c r="S35" s="11"/>
      <c r="T35" s="17">
        <f t="shared" si="3"/>
        <v>0</v>
      </c>
      <c r="U35" s="11"/>
      <c r="V35" s="11"/>
      <c r="W35" s="17">
        <f t="shared" si="4"/>
        <v>0</v>
      </c>
      <c r="X35" s="11">
        <v>3</v>
      </c>
      <c r="Y35" s="11">
        <v>1</v>
      </c>
      <c r="Z35" s="17">
        <f t="shared" si="5"/>
        <v>0</v>
      </c>
      <c r="AA35" s="11"/>
      <c r="AB35" s="11"/>
      <c r="AC35" s="17">
        <f t="shared" si="6"/>
        <v>0</v>
      </c>
      <c r="AD35" s="11"/>
      <c r="AE35" s="11"/>
      <c r="AF35" s="17">
        <f t="shared" si="7"/>
        <v>0</v>
      </c>
      <c r="AG35" s="11"/>
      <c r="AH35" s="11"/>
      <c r="AI35" s="17">
        <f t="shared" si="8"/>
        <v>0</v>
      </c>
    </row>
    <row r="36" spans="1:35" ht="15" customHeight="1" x14ac:dyDescent="0.35">
      <c r="A36" s="7">
        <v>33</v>
      </c>
      <c r="B36" s="8">
        <v>46193</v>
      </c>
      <c r="C36" s="9" t="s">
        <v>44</v>
      </c>
      <c r="D36" s="7" t="s">
        <v>68</v>
      </c>
      <c r="E36" s="10" t="s">
        <v>69</v>
      </c>
      <c r="F36" s="10" t="s">
        <v>74</v>
      </c>
      <c r="G36" s="11"/>
      <c r="H36" s="11"/>
      <c r="I36" s="11"/>
      <c r="J36" s="11"/>
      <c r="K36" s="12">
        <f t="shared" ref="K36:K67" si="9">IF(OR(I36="",J36="",$G36="",$H36=""),0,IF(AND(I36=$G36,J36=$H36),8,IF(SIGN(I36-J36)=SIGN($G36-$H36),3,0)))</f>
        <v>0</v>
      </c>
      <c r="L36" s="11"/>
      <c r="M36" s="11"/>
      <c r="N36" s="12">
        <f t="shared" ref="N36:N67" si="10">IF(OR(L36="",M36="",$G36="",$H36=""),0,IF(AND(L36=$G36,M36=$H36),8,IF(SIGN(L36-M36)=SIGN($G36-$H36),3,0)))</f>
        <v>0</v>
      </c>
      <c r="O36" s="11"/>
      <c r="P36" s="11"/>
      <c r="Q36" s="12">
        <f t="shared" ref="Q36:Q67" si="11">IF(OR(O36="",P36="",$G36="",$H36=""),0,IF(AND(O36=$G36,P36=$H36),8,IF(SIGN(O36-P36)=SIGN($G36-$H36),3,0)))</f>
        <v>0</v>
      </c>
      <c r="R36" s="11"/>
      <c r="S36" s="11"/>
      <c r="T36" s="12">
        <f t="shared" ref="T36:T67" si="12">IF(OR(R36="",S36="",$G36="",$H36=""),0,IF(AND(R36=$G36,S36=$H36),8,IF(SIGN(R36-S36)=SIGN($G36-$H36),3,0)))</f>
        <v>0</v>
      </c>
      <c r="U36" s="11"/>
      <c r="V36" s="11"/>
      <c r="W36" s="12">
        <f t="shared" ref="W36:W67" si="13">IF(OR(U36="",V36="",$G36="",$H36=""),0,IF(AND(U36=$G36,V36=$H36),8,IF(SIGN(U36-V36)=SIGN($G36-$H36),3,0)))</f>
        <v>0</v>
      </c>
      <c r="X36" s="11">
        <v>1</v>
      </c>
      <c r="Y36" s="11">
        <v>1</v>
      </c>
      <c r="Z36" s="12">
        <f t="shared" ref="Z36:Z67" si="14">IF(OR(X36="",Y36="",$G36="",$H36=""),0,IF(AND(X36=$G36,Y36=$H36),8,IF(SIGN(X36-Y36)=SIGN($G36-$H36),3,0)))</f>
        <v>0</v>
      </c>
      <c r="AA36" s="11"/>
      <c r="AB36" s="11"/>
      <c r="AC36" s="12">
        <f t="shared" ref="AC36:AC67" si="15">IF(OR(AA36="",AB36="",$G36="",$H36=""),0,IF(AND(AA36=$G36,AB36=$H36),8,IF(SIGN(AA36-AB36)=SIGN($G36-$H36),3,0)))</f>
        <v>0</v>
      </c>
      <c r="AD36" s="11"/>
      <c r="AE36" s="11"/>
      <c r="AF36" s="12">
        <f t="shared" ref="AF36:AF67" si="16">IF(OR(AD36="",AE36="",$G36="",$H36=""),0,IF(AND(AD36=$G36,AE36=$H36),8,IF(SIGN(AD36-AE36)=SIGN($G36-$H36),3,0)))</f>
        <v>0</v>
      </c>
      <c r="AG36" s="11"/>
      <c r="AH36" s="11"/>
      <c r="AI36" s="12">
        <f t="shared" ref="AI36:AI67" si="17">IF(OR(AG36="",AH36="",$G36="",$H36=""),0,IF(AND(AG36=$G36,AH36=$H36),8,IF(SIGN(AG36-AH36)=SIGN($G36-$H36),3,0)))</f>
        <v>0</v>
      </c>
    </row>
    <row r="37" spans="1:35" ht="15" customHeight="1" x14ac:dyDescent="0.35">
      <c r="A37" s="13">
        <v>34</v>
      </c>
      <c r="B37" s="14">
        <v>46193</v>
      </c>
      <c r="C37" s="15" t="s">
        <v>44</v>
      </c>
      <c r="D37" s="13" t="s">
        <v>65</v>
      </c>
      <c r="E37" s="16" t="s">
        <v>66</v>
      </c>
      <c r="F37" s="16" t="s">
        <v>71</v>
      </c>
      <c r="G37" s="11"/>
      <c r="H37" s="11"/>
      <c r="I37" s="11"/>
      <c r="J37" s="11"/>
      <c r="K37" s="17">
        <f t="shared" si="9"/>
        <v>0</v>
      </c>
      <c r="L37" s="11"/>
      <c r="M37" s="11"/>
      <c r="N37" s="17">
        <f t="shared" si="10"/>
        <v>0</v>
      </c>
      <c r="O37" s="11"/>
      <c r="P37" s="11"/>
      <c r="Q37" s="17">
        <f t="shared" si="11"/>
        <v>0</v>
      </c>
      <c r="R37" s="11"/>
      <c r="S37" s="11"/>
      <c r="T37" s="17">
        <f t="shared" si="12"/>
        <v>0</v>
      </c>
      <c r="U37" s="11"/>
      <c r="V37" s="11"/>
      <c r="W37" s="17">
        <f t="shared" si="13"/>
        <v>0</v>
      </c>
      <c r="X37" s="11">
        <v>2</v>
      </c>
      <c r="Y37" s="11">
        <v>0</v>
      </c>
      <c r="Z37" s="17">
        <f t="shared" si="14"/>
        <v>0</v>
      </c>
      <c r="AA37" s="11"/>
      <c r="AB37" s="11"/>
      <c r="AC37" s="17">
        <f t="shared" si="15"/>
        <v>0</v>
      </c>
      <c r="AD37" s="11"/>
      <c r="AE37" s="11"/>
      <c r="AF37" s="17">
        <f t="shared" si="16"/>
        <v>0</v>
      </c>
      <c r="AG37" s="11"/>
      <c r="AH37" s="11"/>
      <c r="AI37" s="17">
        <f t="shared" si="17"/>
        <v>0</v>
      </c>
    </row>
    <row r="38" spans="1:35" ht="15" customHeight="1" x14ac:dyDescent="0.35">
      <c r="A38" s="7">
        <v>35</v>
      </c>
      <c r="B38" s="8">
        <v>46193</v>
      </c>
      <c r="C38" s="9" t="s">
        <v>44</v>
      </c>
      <c r="D38" s="7" t="s">
        <v>65</v>
      </c>
      <c r="E38" s="10" t="s">
        <v>72</v>
      </c>
      <c r="F38" s="10" t="s">
        <v>67</v>
      </c>
      <c r="G38" s="11"/>
      <c r="H38" s="11"/>
      <c r="I38" s="11"/>
      <c r="J38" s="11"/>
      <c r="K38" s="12">
        <f t="shared" si="9"/>
        <v>0</v>
      </c>
      <c r="L38" s="11"/>
      <c r="M38" s="11"/>
      <c r="N38" s="12">
        <f t="shared" si="10"/>
        <v>0</v>
      </c>
      <c r="O38" s="11"/>
      <c r="P38" s="11"/>
      <c r="Q38" s="12">
        <f t="shared" si="11"/>
        <v>0</v>
      </c>
      <c r="R38" s="11"/>
      <c r="S38" s="11"/>
      <c r="T38" s="12">
        <f t="shared" si="12"/>
        <v>0</v>
      </c>
      <c r="U38" s="11"/>
      <c r="V38" s="11"/>
      <c r="W38" s="12">
        <f t="shared" si="13"/>
        <v>0</v>
      </c>
      <c r="X38" s="11">
        <v>1</v>
      </c>
      <c r="Y38" s="11">
        <v>1</v>
      </c>
      <c r="Z38" s="12">
        <f t="shared" si="14"/>
        <v>0</v>
      </c>
      <c r="AA38" s="11"/>
      <c r="AB38" s="11"/>
      <c r="AC38" s="12">
        <f t="shared" si="15"/>
        <v>0</v>
      </c>
      <c r="AD38" s="11"/>
      <c r="AE38" s="11"/>
      <c r="AF38" s="12">
        <f t="shared" si="16"/>
        <v>0</v>
      </c>
      <c r="AG38" s="11"/>
      <c r="AH38" s="11"/>
      <c r="AI38" s="12">
        <f t="shared" si="17"/>
        <v>0</v>
      </c>
    </row>
    <row r="39" spans="1:35" ht="15" customHeight="1" x14ac:dyDescent="0.35">
      <c r="A39" s="13">
        <v>36</v>
      </c>
      <c r="B39" s="14">
        <v>46193</v>
      </c>
      <c r="C39" s="15" t="s">
        <v>44</v>
      </c>
      <c r="D39" s="13" t="s">
        <v>68</v>
      </c>
      <c r="E39" s="16" t="s">
        <v>73</v>
      </c>
      <c r="F39" s="16" t="s">
        <v>70</v>
      </c>
      <c r="G39" s="11"/>
      <c r="H39" s="11"/>
      <c r="I39" s="11"/>
      <c r="J39" s="11"/>
      <c r="K39" s="17">
        <f t="shared" si="9"/>
        <v>0</v>
      </c>
      <c r="L39" s="11"/>
      <c r="M39" s="11"/>
      <c r="N39" s="17">
        <f t="shared" si="10"/>
        <v>0</v>
      </c>
      <c r="O39" s="11"/>
      <c r="P39" s="11"/>
      <c r="Q39" s="17">
        <f t="shared" si="11"/>
        <v>0</v>
      </c>
      <c r="R39" s="11"/>
      <c r="S39" s="11"/>
      <c r="T39" s="17">
        <f t="shared" si="12"/>
        <v>0</v>
      </c>
      <c r="U39" s="11"/>
      <c r="V39" s="11"/>
      <c r="W39" s="17">
        <f t="shared" si="13"/>
        <v>0</v>
      </c>
      <c r="X39" s="11">
        <v>1</v>
      </c>
      <c r="Y39" s="11">
        <v>2</v>
      </c>
      <c r="Z39" s="17">
        <f t="shared" si="14"/>
        <v>0</v>
      </c>
      <c r="AA39" s="11"/>
      <c r="AB39" s="11"/>
      <c r="AC39" s="17">
        <f t="shared" si="15"/>
        <v>0</v>
      </c>
      <c r="AD39" s="11"/>
      <c r="AE39" s="11"/>
      <c r="AF39" s="17">
        <f t="shared" si="16"/>
        <v>0</v>
      </c>
      <c r="AG39" s="11"/>
      <c r="AH39" s="11"/>
      <c r="AI39" s="17">
        <f t="shared" si="17"/>
        <v>0</v>
      </c>
    </row>
    <row r="40" spans="1:35" ht="15" customHeight="1" x14ac:dyDescent="0.35">
      <c r="A40" s="7">
        <v>37</v>
      </c>
      <c r="B40" s="8">
        <v>46194</v>
      </c>
      <c r="C40" s="9" t="s">
        <v>44</v>
      </c>
      <c r="D40" s="7" t="s">
        <v>75</v>
      </c>
      <c r="E40" s="10" t="s">
        <v>76</v>
      </c>
      <c r="F40" s="10" t="s">
        <v>81</v>
      </c>
      <c r="G40" s="11"/>
      <c r="H40" s="11"/>
      <c r="I40" s="11"/>
      <c r="J40" s="11"/>
      <c r="K40" s="12">
        <f t="shared" si="9"/>
        <v>0</v>
      </c>
      <c r="L40" s="11"/>
      <c r="M40" s="11"/>
      <c r="N40" s="12">
        <f t="shared" si="10"/>
        <v>0</v>
      </c>
      <c r="O40" s="11"/>
      <c r="P40" s="11"/>
      <c r="Q40" s="12">
        <f t="shared" si="11"/>
        <v>0</v>
      </c>
      <c r="R40" s="11"/>
      <c r="S40" s="11"/>
      <c r="T40" s="12">
        <f t="shared" si="12"/>
        <v>0</v>
      </c>
      <c r="U40" s="11"/>
      <c r="V40" s="11"/>
      <c r="W40" s="12">
        <f t="shared" si="13"/>
        <v>0</v>
      </c>
      <c r="X40" s="11">
        <v>3</v>
      </c>
      <c r="Y40" s="11">
        <v>1</v>
      </c>
      <c r="Z40" s="12">
        <f t="shared" si="14"/>
        <v>0</v>
      </c>
      <c r="AA40" s="11"/>
      <c r="AB40" s="11"/>
      <c r="AC40" s="12">
        <f t="shared" si="15"/>
        <v>0</v>
      </c>
      <c r="AD40" s="11"/>
      <c r="AE40" s="11"/>
      <c r="AF40" s="12">
        <f t="shared" si="16"/>
        <v>0</v>
      </c>
      <c r="AG40" s="11"/>
      <c r="AH40" s="11"/>
      <c r="AI40" s="12">
        <f t="shared" si="17"/>
        <v>0</v>
      </c>
    </row>
    <row r="41" spans="1:35" ht="15" customHeight="1" x14ac:dyDescent="0.35">
      <c r="A41" s="13">
        <v>38</v>
      </c>
      <c r="B41" s="14">
        <v>46194</v>
      </c>
      <c r="C41" s="15" t="s">
        <v>44</v>
      </c>
      <c r="D41" s="13" t="s">
        <v>78</v>
      </c>
      <c r="E41" s="16" t="s">
        <v>79</v>
      </c>
      <c r="F41" s="16" t="s">
        <v>83</v>
      </c>
      <c r="G41" s="11"/>
      <c r="H41" s="11"/>
      <c r="I41" s="11"/>
      <c r="J41" s="11"/>
      <c r="K41" s="17">
        <f t="shared" si="9"/>
        <v>0</v>
      </c>
      <c r="L41" s="11"/>
      <c r="M41" s="11"/>
      <c r="N41" s="17">
        <f t="shared" si="10"/>
        <v>0</v>
      </c>
      <c r="O41" s="11"/>
      <c r="P41" s="11"/>
      <c r="Q41" s="17">
        <f t="shared" si="11"/>
        <v>0</v>
      </c>
      <c r="R41" s="11"/>
      <c r="S41" s="11"/>
      <c r="T41" s="17">
        <f t="shared" si="12"/>
        <v>0</v>
      </c>
      <c r="U41" s="11"/>
      <c r="V41" s="11"/>
      <c r="W41" s="17">
        <f t="shared" si="13"/>
        <v>0</v>
      </c>
      <c r="X41" s="11">
        <v>2</v>
      </c>
      <c r="Y41" s="11">
        <v>0</v>
      </c>
      <c r="Z41" s="17">
        <f t="shared" si="14"/>
        <v>0</v>
      </c>
      <c r="AA41" s="11"/>
      <c r="AB41" s="11"/>
      <c r="AC41" s="17">
        <f t="shared" si="15"/>
        <v>0</v>
      </c>
      <c r="AD41" s="11"/>
      <c r="AE41" s="11"/>
      <c r="AF41" s="17">
        <f t="shared" si="16"/>
        <v>0</v>
      </c>
      <c r="AG41" s="11"/>
      <c r="AH41" s="11"/>
      <c r="AI41" s="17">
        <f t="shared" si="17"/>
        <v>0</v>
      </c>
    </row>
    <row r="42" spans="1:35" ht="15" customHeight="1" x14ac:dyDescent="0.35">
      <c r="A42" s="7">
        <v>39</v>
      </c>
      <c r="B42" s="8">
        <v>46194</v>
      </c>
      <c r="C42" s="9" t="s">
        <v>44</v>
      </c>
      <c r="D42" s="7" t="s">
        <v>75</v>
      </c>
      <c r="E42" s="10" t="s">
        <v>82</v>
      </c>
      <c r="F42" s="10" t="s">
        <v>77</v>
      </c>
      <c r="G42" s="11"/>
      <c r="H42" s="11"/>
      <c r="I42" s="11"/>
      <c r="J42" s="11"/>
      <c r="K42" s="12">
        <f t="shared" si="9"/>
        <v>0</v>
      </c>
      <c r="L42" s="11"/>
      <c r="M42" s="11"/>
      <c r="N42" s="12">
        <f t="shared" si="10"/>
        <v>0</v>
      </c>
      <c r="O42" s="11"/>
      <c r="P42" s="11"/>
      <c r="Q42" s="12">
        <f t="shared" si="11"/>
        <v>0</v>
      </c>
      <c r="R42" s="11"/>
      <c r="S42" s="11"/>
      <c r="T42" s="12">
        <f t="shared" si="12"/>
        <v>0</v>
      </c>
      <c r="U42" s="11"/>
      <c r="V42" s="11"/>
      <c r="W42" s="12">
        <f t="shared" si="13"/>
        <v>0</v>
      </c>
      <c r="X42" s="11">
        <v>1</v>
      </c>
      <c r="Y42" s="11">
        <v>1</v>
      </c>
      <c r="Z42" s="12">
        <f t="shared" si="14"/>
        <v>0</v>
      </c>
      <c r="AA42" s="11"/>
      <c r="AB42" s="11"/>
      <c r="AC42" s="12">
        <f t="shared" si="15"/>
        <v>0</v>
      </c>
      <c r="AD42" s="11"/>
      <c r="AE42" s="11"/>
      <c r="AF42" s="12">
        <f t="shared" si="16"/>
        <v>0</v>
      </c>
      <c r="AG42" s="11"/>
      <c r="AH42" s="11"/>
      <c r="AI42" s="12">
        <f t="shared" si="17"/>
        <v>0</v>
      </c>
    </row>
    <row r="43" spans="1:35" ht="15" customHeight="1" x14ac:dyDescent="0.35">
      <c r="A43" s="13">
        <v>40</v>
      </c>
      <c r="B43" s="14">
        <v>46194</v>
      </c>
      <c r="C43" s="15" t="s">
        <v>44</v>
      </c>
      <c r="D43" s="13" t="s">
        <v>78</v>
      </c>
      <c r="E43" s="16" t="s">
        <v>84</v>
      </c>
      <c r="F43" s="16" t="s">
        <v>80</v>
      </c>
      <c r="G43" s="11"/>
      <c r="H43" s="11"/>
      <c r="I43" s="11"/>
      <c r="J43" s="11"/>
      <c r="K43" s="17">
        <f t="shared" si="9"/>
        <v>0</v>
      </c>
      <c r="L43" s="11"/>
      <c r="M43" s="11"/>
      <c r="N43" s="17">
        <f t="shared" si="10"/>
        <v>0</v>
      </c>
      <c r="O43" s="11"/>
      <c r="P43" s="11"/>
      <c r="Q43" s="17">
        <f t="shared" si="11"/>
        <v>0</v>
      </c>
      <c r="R43" s="11"/>
      <c r="S43" s="11"/>
      <c r="T43" s="17">
        <f t="shared" si="12"/>
        <v>0</v>
      </c>
      <c r="U43" s="11"/>
      <c r="V43" s="11"/>
      <c r="W43" s="17">
        <f t="shared" si="13"/>
        <v>0</v>
      </c>
      <c r="X43" s="11">
        <v>1</v>
      </c>
      <c r="Y43" s="11">
        <v>2</v>
      </c>
      <c r="Z43" s="17">
        <f t="shared" si="14"/>
        <v>0</v>
      </c>
      <c r="AA43" s="11"/>
      <c r="AB43" s="11"/>
      <c r="AC43" s="17">
        <f t="shared" si="15"/>
        <v>0</v>
      </c>
      <c r="AD43" s="11"/>
      <c r="AE43" s="11"/>
      <c r="AF43" s="17">
        <f t="shared" si="16"/>
        <v>0</v>
      </c>
      <c r="AG43" s="11"/>
      <c r="AH43" s="11"/>
      <c r="AI43" s="17">
        <f t="shared" si="17"/>
        <v>0</v>
      </c>
    </row>
    <row r="44" spans="1:35" ht="15" customHeight="1" x14ac:dyDescent="0.35">
      <c r="A44" s="7">
        <v>41</v>
      </c>
      <c r="B44" s="8">
        <v>46195</v>
      </c>
      <c r="C44" s="9" t="s">
        <v>44</v>
      </c>
      <c r="D44" s="7" t="s">
        <v>90</v>
      </c>
      <c r="E44" s="10" t="s">
        <v>91</v>
      </c>
      <c r="F44" s="10" t="s">
        <v>93</v>
      </c>
      <c r="G44" s="11"/>
      <c r="H44" s="11"/>
      <c r="I44" s="11"/>
      <c r="J44" s="11"/>
      <c r="K44" s="12">
        <f t="shared" si="9"/>
        <v>0</v>
      </c>
      <c r="L44" s="11"/>
      <c r="M44" s="11"/>
      <c r="N44" s="12">
        <f t="shared" si="10"/>
        <v>0</v>
      </c>
      <c r="O44" s="11"/>
      <c r="P44" s="11"/>
      <c r="Q44" s="12">
        <f t="shared" si="11"/>
        <v>0</v>
      </c>
      <c r="R44" s="11"/>
      <c r="S44" s="11"/>
      <c r="T44" s="12">
        <f t="shared" si="12"/>
        <v>0</v>
      </c>
      <c r="U44" s="11"/>
      <c r="V44" s="11"/>
      <c r="W44" s="12">
        <f t="shared" si="13"/>
        <v>0</v>
      </c>
      <c r="X44" s="11">
        <v>2</v>
      </c>
      <c r="Y44" s="11">
        <v>1</v>
      </c>
      <c r="Z44" s="12">
        <f t="shared" si="14"/>
        <v>0</v>
      </c>
      <c r="AA44" s="11"/>
      <c r="AB44" s="11"/>
      <c r="AC44" s="12">
        <f t="shared" si="15"/>
        <v>0</v>
      </c>
      <c r="AD44" s="11"/>
      <c r="AE44" s="11"/>
      <c r="AF44" s="12">
        <f t="shared" si="16"/>
        <v>0</v>
      </c>
      <c r="AG44" s="11"/>
      <c r="AH44" s="11"/>
      <c r="AI44" s="12">
        <f t="shared" si="17"/>
        <v>0</v>
      </c>
    </row>
    <row r="45" spans="1:35" ht="15" customHeight="1" x14ac:dyDescent="0.35">
      <c r="A45" s="13">
        <v>42</v>
      </c>
      <c r="B45" s="14">
        <v>46195</v>
      </c>
      <c r="C45" s="15" t="s">
        <v>44</v>
      </c>
      <c r="D45" s="13" t="s">
        <v>85</v>
      </c>
      <c r="E45" s="16" t="s">
        <v>86</v>
      </c>
      <c r="F45" s="16" t="s">
        <v>88</v>
      </c>
      <c r="G45" s="11"/>
      <c r="H45" s="11"/>
      <c r="I45" s="11"/>
      <c r="J45" s="11"/>
      <c r="K45" s="17">
        <f t="shared" si="9"/>
        <v>0</v>
      </c>
      <c r="L45" s="11"/>
      <c r="M45" s="11"/>
      <c r="N45" s="17">
        <f t="shared" si="10"/>
        <v>0</v>
      </c>
      <c r="O45" s="11"/>
      <c r="P45" s="11"/>
      <c r="Q45" s="17">
        <f t="shared" si="11"/>
        <v>0</v>
      </c>
      <c r="R45" s="11"/>
      <c r="S45" s="11"/>
      <c r="T45" s="17">
        <f t="shared" si="12"/>
        <v>0</v>
      </c>
      <c r="U45" s="11"/>
      <c r="V45" s="11"/>
      <c r="W45" s="17">
        <f t="shared" si="13"/>
        <v>0</v>
      </c>
      <c r="X45" s="11">
        <v>3</v>
      </c>
      <c r="Y45" s="11">
        <v>0</v>
      </c>
      <c r="Z45" s="17">
        <f t="shared" si="14"/>
        <v>0</v>
      </c>
      <c r="AA45" s="11"/>
      <c r="AB45" s="11"/>
      <c r="AC45" s="17">
        <f t="shared" si="15"/>
        <v>0</v>
      </c>
      <c r="AD45" s="11"/>
      <c r="AE45" s="11"/>
      <c r="AF45" s="17">
        <f t="shared" si="16"/>
        <v>0</v>
      </c>
      <c r="AG45" s="11"/>
      <c r="AH45" s="11"/>
      <c r="AI45" s="17">
        <f t="shared" si="17"/>
        <v>0</v>
      </c>
    </row>
    <row r="46" spans="1:35" ht="15" customHeight="1" x14ac:dyDescent="0.35">
      <c r="A46" s="7">
        <v>43</v>
      </c>
      <c r="B46" s="8">
        <v>46195</v>
      </c>
      <c r="C46" s="9" t="s">
        <v>44</v>
      </c>
      <c r="D46" s="7" t="s">
        <v>85</v>
      </c>
      <c r="E46" s="10" t="s">
        <v>89</v>
      </c>
      <c r="F46" s="10" t="s">
        <v>87</v>
      </c>
      <c r="G46" s="11"/>
      <c r="H46" s="11"/>
      <c r="I46" s="11"/>
      <c r="J46" s="11"/>
      <c r="K46" s="12">
        <f t="shared" si="9"/>
        <v>0</v>
      </c>
      <c r="L46" s="11"/>
      <c r="M46" s="11"/>
      <c r="N46" s="12">
        <f t="shared" si="10"/>
        <v>0</v>
      </c>
      <c r="O46" s="11"/>
      <c r="P46" s="11"/>
      <c r="Q46" s="12">
        <f t="shared" si="11"/>
        <v>0</v>
      </c>
      <c r="R46" s="11"/>
      <c r="S46" s="11"/>
      <c r="T46" s="12">
        <f t="shared" si="12"/>
        <v>0</v>
      </c>
      <c r="U46" s="11"/>
      <c r="V46" s="11"/>
      <c r="W46" s="12">
        <f t="shared" si="13"/>
        <v>0</v>
      </c>
      <c r="X46" s="11">
        <v>1</v>
      </c>
      <c r="Y46" s="11">
        <v>0</v>
      </c>
      <c r="Z46" s="12">
        <f t="shared" si="14"/>
        <v>0</v>
      </c>
      <c r="AA46" s="11"/>
      <c r="AB46" s="11"/>
      <c r="AC46" s="12">
        <f t="shared" si="15"/>
        <v>0</v>
      </c>
      <c r="AD46" s="11"/>
      <c r="AE46" s="11"/>
      <c r="AF46" s="12">
        <f t="shared" si="16"/>
        <v>0</v>
      </c>
      <c r="AG46" s="11"/>
      <c r="AH46" s="11"/>
      <c r="AI46" s="12">
        <f t="shared" si="17"/>
        <v>0</v>
      </c>
    </row>
    <row r="47" spans="1:35" ht="15" customHeight="1" x14ac:dyDescent="0.35">
      <c r="A47" s="13">
        <v>44</v>
      </c>
      <c r="B47" s="14">
        <v>46195</v>
      </c>
      <c r="C47" s="15" t="s">
        <v>44</v>
      </c>
      <c r="D47" s="13" t="s">
        <v>90</v>
      </c>
      <c r="E47" s="16" t="s">
        <v>94</v>
      </c>
      <c r="F47" s="16" t="s">
        <v>92</v>
      </c>
      <c r="G47" s="11"/>
      <c r="H47" s="11"/>
      <c r="I47" s="11"/>
      <c r="J47" s="11"/>
      <c r="K47" s="17">
        <f t="shared" si="9"/>
        <v>0</v>
      </c>
      <c r="L47" s="11"/>
      <c r="M47" s="11"/>
      <c r="N47" s="17">
        <f t="shared" si="10"/>
        <v>0</v>
      </c>
      <c r="O47" s="11"/>
      <c r="P47" s="11"/>
      <c r="Q47" s="17">
        <f t="shared" si="11"/>
        <v>0</v>
      </c>
      <c r="R47" s="11"/>
      <c r="S47" s="11"/>
      <c r="T47" s="17">
        <f t="shared" si="12"/>
        <v>0</v>
      </c>
      <c r="U47" s="11"/>
      <c r="V47" s="11"/>
      <c r="W47" s="17">
        <f t="shared" si="13"/>
        <v>0</v>
      </c>
      <c r="X47" s="11">
        <v>1</v>
      </c>
      <c r="Y47" s="11">
        <v>1</v>
      </c>
      <c r="Z47" s="17">
        <f t="shared" si="14"/>
        <v>0</v>
      </c>
      <c r="AA47" s="11"/>
      <c r="AB47" s="11"/>
      <c r="AC47" s="17">
        <f t="shared" si="15"/>
        <v>0</v>
      </c>
      <c r="AD47" s="11"/>
      <c r="AE47" s="11"/>
      <c r="AF47" s="17">
        <f t="shared" si="16"/>
        <v>0</v>
      </c>
      <c r="AG47" s="11"/>
      <c r="AH47" s="11"/>
      <c r="AI47" s="17">
        <f t="shared" si="17"/>
        <v>0</v>
      </c>
    </row>
    <row r="48" spans="1:35" ht="15" customHeight="1" x14ac:dyDescent="0.35">
      <c r="A48" s="7">
        <v>45</v>
      </c>
      <c r="B48" s="8">
        <v>46196</v>
      </c>
      <c r="C48" s="9" t="s">
        <v>44</v>
      </c>
      <c r="D48" s="7" t="s">
        <v>95</v>
      </c>
      <c r="E48" s="10" t="s">
        <v>96</v>
      </c>
      <c r="F48" s="10" t="s">
        <v>103</v>
      </c>
      <c r="G48" s="11"/>
      <c r="H48" s="11"/>
      <c r="I48" s="11"/>
      <c r="J48" s="11"/>
      <c r="K48" s="12">
        <f t="shared" si="9"/>
        <v>0</v>
      </c>
      <c r="L48" s="11"/>
      <c r="M48" s="11"/>
      <c r="N48" s="12">
        <f t="shared" si="10"/>
        <v>0</v>
      </c>
      <c r="O48" s="11"/>
      <c r="P48" s="11"/>
      <c r="Q48" s="12">
        <f t="shared" si="11"/>
        <v>0</v>
      </c>
      <c r="R48" s="11"/>
      <c r="S48" s="11"/>
      <c r="T48" s="12">
        <f t="shared" si="12"/>
        <v>0</v>
      </c>
      <c r="U48" s="11"/>
      <c r="V48" s="11"/>
      <c r="W48" s="12">
        <f t="shared" si="13"/>
        <v>0</v>
      </c>
      <c r="X48" s="11">
        <v>2</v>
      </c>
      <c r="Y48" s="11">
        <v>0</v>
      </c>
      <c r="Z48" s="12">
        <f t="shared" si="14"/>
        <v>0</v>
      </c>
      <c r="AA48" s="11"/>
      <c r="AB48" s="11"/>
      <c r="AC48" s="12">
        <f t="shared" si="15"/>
        <v>0</v>
      </c>
      <c r="AD48" s="11"/>
      <c r="AE48" s="11"/>
      <c r="AF48" s="12">
        <f t="shared" si="16"/>
        <v>0</v>
      </c>
      <c r="AG48" s="11"/>
      <c r="AH48" s="11"/>
      <c r="AI48" s="12">
        <f t="shared" si="17"/>
        <v>0</v>
      </c>
    </row>
    <row r="49" spans="1:35" ht="15" customHeight="1" x14ac:dyDescent="0.35">
      <c r="A49" s="13">
        <v>46</v>
      </c>
      <c r="B49" s="14">
        <v>46196</v>
      </c>
      <c r="C49" s="15" t="s">
        <v>44</v>
      </c>
      <c r="D49" s="13" t="s">
        <v>98</v>
      </c>
      <c r="E49" s="16" t="s">
        <v>99</v>
      </c>
      <c r="F49" s="16" t="s">
        <v>101</v>
      </c>
      <c r="G49" s="11"/>
      <c r="H49" s="11"/>
      <c r="I49" s="11"/>
      <c r="J49" s="11"/>
      <c r="K49" s="17">
        <f t="shared" si="9"/>
        <v>0</v>
      </c>
      <c r="L49" s="11"/>
      <c r="M49" s="11"/>
      <c r="N49" s="17">
        <f t="shared" si="10"/>
        <v>0</v>
      </c>
      <c r="O49" s="11"/>
      <c r="P49" s="11"/>
      <c r="Q49" s="17">
        <f t="shared" si="11"/>
        <v>0</v>
      </c>
      <c r="R49" s="11"/>
      <c r="S49" s="11"/>
      <c r="T49" s="17">
        <f t="shared" si="12"/>
        <v>0</v>
      </c>
      <c r="U49" s="11"/>
      <c r="V49" s="11"/>
      <c r="W49" s="17">
        <f t="shared" si="13"/>
        <v>0</v>
      </c>
      <c r="X49" s="11">
        <v>2</v>
      </c>
      <c r="Y49" s="11">
        <v>0</v>
      </c>
      <c r="Z49" s="17">
        <f t="shared" si="14"/>
        <v>0</v>
      </c>
      <c r="AA49" s="11"/>
      <c r="AB49" s="11"/>
      <c r="AC49" s="17">
        <f t="shared" si="15"/>
        <v>0</v>
      </c>
      <c r="AD49" s="11"/>
      <c r="AE49" s="11"/>
      <c r="AF49" s="17">
        <f t="shared" si="16"/>
        <v>0</v>
      </c>
      <c r="AG49" s="11"/>
      <c r="AH49" s="11"/>
      <c r="AI49" s="17">
        <f t="shared" si="17"/>
        <v>0</v>
      </c>
    </row>
    <row r="50" spans="1:35" ht="15" customHeight="1" x14ac:dyDescent="0.35">
      <c r="A50" s="7">
        <v>47</v>
      </c>
      <c r="B50" s="8">
        <v>46196</v>
      </c>
      <c r="C50" s="9" t="s">
        <v>44</v>
      </c>
      <c r="D50" s="7" t="s">
        <v>98</v>
      </c>
      <c r="E50" s="10" t="s">
        <v>102</v>
      </c>
      <c r="F50" s="10" t="s">
        <v>100</v>
      </c>
      <c r="G50" s="11"/>
      <c r="H50" s="11"/>
      <c r="I50" s="11"/>
      <c r="J50" s="11"/>
      <c r="K50" s="12">
        <f t="shared" si="9"/>
        <v>0</v>
      </c>
      <c r="L50" s="11"/>
      <c r="M50" s="11"/>
      <c r="N50" s="12">
        <f t="shared" si="10"/>
        <v>0</v>
      </c>
      <c r="O50" s="11"/>
      <c r="P50" s="11"/>
      <c r="Q50" s="12">
        <f t="shared" si="11"/>
        <v>0</v>
      </c>
      <c r="R50" s="11"/>
      <c r="S50" s="11"/>
      <c r="T50" s="12">
        <f t="shared" si="12"/>
        <v>0</v>
      </c>
      <c r="U50" s="11"/>
      <c r="V50" s="11"/>
      <c r="W50" s="12">
        <f t="shared" si="13"/>
        <v>0</v>
      </c>
      <c r="X50" s="11">
        <v>1</v>
      </c>
      <c r="Y50" s="11">
        <v>1</v>
      </c>
      <c r="Z50" s="12">
        <f t="shared" si="14"/>
        <v>0</v>
      </c>
      <c r="AA50" s="11"/>
      <c r="AB50" s="11"/>
      <c r="AC50" s="12">
        <f t="shared" si="15"/>
        <v>0</v>
      </c>
      <c r="AD50" s="11"/>
      <c r="AE50" s="11"/>
      <c r="AF50" s="12">
        <f t="shared" si="16"/>
        <v>0</v>
      </c>
      <c r="AG50" s="11"/>
      <c r="AH50" s="11"/>
      <c r="AI50" s="12">
        <f t="shared" si="17"/>
        <v>0</v>
      </c>
    </row>
    <row r="51" spans="1:35" ht="15" customHeight="1" x14ac:dyDescent="0.35">
      <c r="A51" s="13">
        <v>48</v>
      </c>
      <c r="B51" s="14">
        <v>46196</v>
      </c>
      <c r="C51" s="15" t="s">
        <v>44</v>
      </c>
      <c r="D51" s="13" t="s">
        <v>95</v>
      </c>
      <c r="E51" s="16" t="s">
        <v>104</v>
      </c>
      <c r="F51" s="16" t="s">
        <v>97</v>
      </c>
      <c r="G51" s="11"/>
      <c r="H51" s="11"/>
      <c r="I51" s="11"/>
      <c r="J51" s="11"/>
      <c r="K51" s="17">
        <f t="shared" si="9"/>
        <v>0</v>
      </c>
      <c r="L51" s="11"/>
      <c r="M51" s="11"/>
      <c r="N51" s="17">
        <f t="shared" si="10"/>
        <v>0</v>
      </c>
      <c r="O51" s="11"/>
      <c r="P51" s="11"/>
      <c r="Q51" s="17">
        <f t="shared" si="11"/>
        <v>0</v>
      </c>
      <c r="R51" s="11"/>
      <c r="S51" s="11"/>
      <c r="T51" s="17">
        <f t="shared" si="12"/>
        <v>0</v>
      </c>
      <c r="U51" s="11"/>
      <c r="V51" s="11"/>
      <c r="W51" s="17">
        <f t="shared" si="13"/>
        <v>0</v>
      </c>
      <c r="X51" s="11">
        <v>1</v>
      </c>
      <c r="Y51" s="11">
        <v>0</v>
      </c>
      <c r="Z51" s="17">
        <f t="shared" si="14"/>
        <v>0</v>
      </c>
      <c r="AA51" s="11"/>
      <c r="AB51" s="11"/>
      <c r="AC51" s="17">
        <f t="shared" si="15"/>
        <v>0</v>
      </c>
      <c r="AD51" s="11"/>
      <c r="AE51" s="11"/>
      <c r="AF51" s="17">
        <f t="shared" si="16"/>
        <v>0</v>
      </c>
      <c r="AG51" s="11"/>
      <c r="AH51" s="11"/>
      <c r="AI51" s="17">
        <f t="shared" si="17"/>
        <v>0</v>
      </c>
    </row>
    <row r="52" spans="1:35" ht="15" customHeight="1" x14ac:dyDescent="0.35">
      <c r="A52" s="7">
        <v>49</v>
      </c>
      <c r="B52" s="8">
        <v>46197</v>
      </c>
      <c r="C52" s="9" t="s">
        <v>44</v>
      </c>
      <c r="D52" s="7" t="s">
        <v>50</v>
      </c>
      <c r="E52" s="10" t="s">
        <v>57</v>
      </c>
      <c r="F52" s="10" t="s">
        <v>51</v>
      </c>
      <c r="G52" s="11"/>
      <c r="H52" s="11"/>
      <c r="I52" s="11"/>
      <c r="J52" s="11"/>
      <c r="K52" s="12">
        <f t="shared" si="9"/>
        <v>0</v>
      </c>
      <c r="L52" s="11"/>
      <c r="M52" s="11"/>
      <c r="N52" s="12">
        <f t="shared" si="10"/>
        <v>0</v>
      </c>
      <c r="O52" s="11"/>
      <c r="P52" s="11"/>
      <c r="Q52" s="12">
        <f t="shared" si="11"/>
        <v>0</v>
      </c>
      <c r="R52" s="11"/>
      <c r="S52" s="11"/>
      <c r="T52" s="12">
        <f t="shared" si="12"/>
        <v>0</v>
      </c>
      <c r="U52" s="11"/>
      <c r="V52" s="11"/>
      <c r="W52" s="12">
        <f t="shared" si="13"/>
        <v>0</v>
      </c>
      <c r="X52" s="11">
        <v>1</v>
      </c>
      <c r="Y52" s="11">
        <v>2</v>
      </c>
      <c r="Z52" s="12">
        <f t="shared" si="14"/>
        <v>0</v>
      </c>
      <c r="AA52" s="11"/>
      <c r="AB52" s="11"/>
      <c r="AC52" s="12">
        <f t="shared" si="15"/>
        <v>0</v>
      </c>
      <c r="AD52" s="11"/>
      <c r="AE52" s="11"/>
      <c r="AF52" s="12">
        <f t="shared" si="16"/>
        <v>0</v>
      </c>
      <c r="AG52" s="11"/>
      <c r="AH52" s="11"/>
      <c r="AI52" s="12">
        <f t="shared" si="17"/>
        <v>0</v>
      </c>
    </row>
    <row r="53" spans="1:35" ht="15" customHeight="1" x14ac:dyDescent="0.35">
      <c r="A53" s="13">
        <v>50</v>
      </c>
      <c r="B53" s="14">
        <v>46197</v>
      </c>
      <c r="C53" s="15" t="s">
        <v>44</v>
      </c>
      <c r="D53" s="13" t="s">
        <v>50</v>
      </c>
      <c r="E53" s="16" t="s">
        <v>52</v>
      </c>
      <c r="F53" s="16" t="s">
        <v>56</v>
      </c>
      <c r="G53" s="11"/>
      <c r="H53" s="11"/>
      <c r="I53" s="11"/>
      <c r="J53" s="11"/>
      <c r="K53" s="17">
        <f t="shared" si="9"/>
        <v>0</v>
      </c>
      <c r="L53" s="11"/>
      <c r="M53" s="11"/>
      <c r="N53" s="17">
        <f t="shared" si="10"/>
        <v>0</v>
      </c>
      <c r="O53" s="11"/>
      <c r="P53" s="11"/>
      <c r="Q53" s="17">
        <f t="shared" si="11"/>
        <v>0</v>
      </c>
      <c r="R53" s="11"/>
      <c r="S53" s="11"/>
      <c r="T53" s="17">
        <f t="shared" si="12"/>
        <v>0</v>
      </c>
      <c r="U53" s="11"/>
      <c r="V53" s="11"/>
      <c r="W53" s="17">
        <f t="shared" si="13"/>
        <v>0</v>
      </c>
      <c r="X53" s="11">
        <v>1</v>
      </c>
      <c r="Y53" s="11">
        <v>1</v>
      </c>
      <c r="Z53" s="17">
        <f t="shared" si="14"/>
        <v>0</v>
      </c>
      <c r="AA53" s="11"/>
      <c r="AB53" s="11"/>
      <c r="AC53" s="17">
        <f t="shared" si="15"/>
        <v>0</v>
      </c>
      <c r="AD53" s="11"/>
      <c r="AE53" s="11"/>
      <c r="AF53" s="17">
        <f t="shared" si="16"/>
        <v>0</v>
      </c>
      <c r="AG53" s="11"/>
      <c r="AH53" s="11"/>
      <c r="AI53" s="17">
        <f t="shared" si="17"/>
        <v>0</v>
      </c>
    </row>
    <row r="54" spans="1:35" ht="15" customHeight="1" x14ac:dyDescent="0.35">
      <c r="A54" s="7">
        <v>51</v>
      </c>
      <c r="B54" s="8">
        <v>46197</v>
      </c>
      <c r="C54" s="9" t="s">
        <v>44</v>
      </c>
      <c r="D54" s="7" t="s">
        <v>58</v>
      </c>
      <c r="E54" s="10" t="s">
        <v>59</v>
      </c>
      <c r="F54" s="10" t="s">
        <v>62</v>
      </c>
      <c r="G54" s="11"/>
      <c r="H54" s="11"/>
      <c r="I54" s="11"/>
      <c r="J54" s="11"/>
      <c r="K54" s="12">
        <f t="shared" si="9"/>
        <v>0</v>
      </c>
      <c r="L54" s="11"/>
      <c r="M54" s="11"/>
      <c r="N54" s="12">
        <f t="shared" si="10"/>
        <v>0</v>
      </c>
      <c r="O54" s="11"/>
      <c r="P54" s="11"/>
      <c r="Q54" s="12">
        <f t="shared" si="11"/>
        <v>0</v>
      </c>
      <c r="R54" s="11"/>
      <c r="S54" s="11"/>
      <c r="T54" s="12">
        <f t="shared" si="12"/>
        <v>0</v>
      </c>
      <c r="U54" s="11"/>
      <c r="V54" s="11"/>
      <c r="W54" s="12">
        <f t="shared" si="13"/>
        <v>0</v>
      </c>
      <c r="X54" s="11">
        <v>2</v>
      </c>
      <c r="Y54" s="11">
        <v>3</v>
      </c>
      <c r="Z54" s="12">
        <f t="shared" si="14"/>
        <v>0</v>
      </c>
      <c r="AA54" s="11"/>
      <c r="AB54" s="11"/>
      <c r="AC54" s="12">
        <f t="shared" si="15"/>
        <v>0</v>
      </c>
      <c r="AD54" s="11"/>
      <c r="AE54" s="11"/>
      <c r="AF54" s="12">
        <f t="shared" si="16"/>
        <v>0</v>
      </c>
      <c r="AG54" s="11"/>
      <c r="AH54" s="11"/>
      <c r="AI54" s="12">
        <f t="shared" si="17"/>
        <v>0</v>
      </c>
    </row>
    <row r="55" spans="1:35" ht="15" customHeight="1" x14ac:dyDescent="0.35">
      <c r="A55" s="13">
        <v>52</v>
      </c>
      <c r="B55" s="14">
        <v>46197</v>
      </c>
      <c r="C55" s="15" t="s">
        <v>44</v>
      </c>
      <c r="D55" s="13" t="s">
        <v>58</v>
      </c>
      <c r="E55" s="16" t="s">
        <v>60</v>
      </c>
      <c r="F55" s="16" t="s">
        <v>61</v>
      </c>
      <c r="G55" s="11"/>
      <c r="H55" s="11"/>
      <c r="I55" s="11"/>
      <c r="J55" s="11"/>
      <c r="K55" s="17">
        <f t="shared" si="9"/>
        <v>0</v>
      </c>
      <c r="L55" s="11"/>
      <c r="M55" s="11"/>
      <c r="N55" s="17">
        <f t="shared" si="10"/>
        <v>0</v>
      </c>
      <c r="O55" s="11"/>
      <c r="P55" s="11"/>
      <c r="Q55" s="17">
        <f t="shared" si="11"/>
        <v>0</v>
      </c>
      <c r="R55" s="11"/>
      <c r="S55" s="11"/>
      <c r="T55" s="17">
        <f t="shared" si="12"/>
        <v>0</v>
      </c>
      <c r="U55" s="11"/>
      <c r="V55" s="11"/>
      <c r="W55" s="17">
        <f t="shared" si="13"/>
        <v>0</v>
      </c>
      <c r="X55" s="11">
        <v>1</v>
      </c>
      <c r="Y55" s="11">
        <v>1</v>
      </c>
      <c r="Z55" s="17">
        <f t="shared" si="14"/>
        <v>0</v>
      </c>
      <c r="AA55" s="11"/>
      <c r="AB55" s="11"/>
      <c r="AC55" s="17">
        <f t="shared" si="15"/>
        <v>0</v>
      </c>
      <c r="AD55" s="11"/>
      <c r="AE55" s="11"/>
      <c r="AF55" s="17">
        <f t="shared" si="16"/>
        <v>0</v>
      </c>
      <c r="AG55" s="11"/>
      <c r="AH55" s="11"/>
      <c r="AI55" s="17">
        <f t="shared" si="17"/>
        <v>0</v>
      </c>
    </row>
    <row r="56" spans="1:35" ht="15" customHeight="1" x14ac:dyDescent="0.35">
      <c r="A56" s="7">
        <v>53</v>
      </c>
      <c r="B56" s="8">
        <v>46197</v>
      </c>
      <c r="C56" s="9" t="s">
        <v>44</v>
      </c>
      <c r="D56" s="7" t="s">
        <v>45</v>
      </c>
      <c r="E56" s="10" t="s">
        <v>46</v>
      </c>
      <c r="F56" s="10" t="s">
        <v>49</v>
      </c>
      <c r="G56" s="11"/>
      <c r="H56" s="11"/>
      <c r="I56" s="11"/>
      <c r="J56" s="11"/>
      <c r="K56" s="12">
        <f t="shared" si="9"/>
        <v>0</v>
      </c>
      <c r="L56" s="11"/>
      <c r="M56" s="11"/>
      <c r="N56" s="12">
        <f t="shared" si="10"/>
        <v>0</v>
      </c>
      <c r="O56" s="11"/>
      <c r="P56" s="11"/>
      <c r="Q56" s="12">
        <f t="shared" si="11"/>
        <v>0</v>
      </c>
      <c r="R56" s="11"/>
      <c r="S56" s="11"/>
      <c r="T56" s="12">
        <f t="shared" si="12"/>
        <v>0</v>
      </c>
      <c r="U56" s="11"/>
      <c r="V56" s="11"/>
      <c r="W56" s="12">
        <f t="shared" si="13"/>
        <v>0</v>
      </c>
      <c r="X56" s="11">
        <v>3</v>
      </c>
      <c r="Y56" s="11">
        <v>1</v>
      </c>
      <c r="Z56" s="12">
        <f t="shared" si="14"/>
        <v>0</v>
      </c>
      <c r="AA56" s="11"/>
      <c r="AB56" s="11"/>
      <c r="AC56" s="12">
        <f t="shared" si="15"/>
        <v>0</v>
      </c>
      <c r="AD56" s="11"/>
      <c r="AE56" s="11"/>
      <c r="AF56" s="12">
        <f t="shared" si="16"/>
        <v>0</v>
      </c>
      <c r="AG56" s="11"/>
      <c r="AH56" s="11"/>
      <c r="AI56" s="12">
        <f t="shared" si="17"/>
        <v>0</v>
      </c>
    </row>
    <row r="57" spans="1:35" ht="15" customHeight="1" x14ac:dyDescent="0.35">
      <c r="A57" s="13">
        <v>54</v>
      </c>
      <c r="B57" s="14">
        <v>46197</v>
      </c>
      <c r="C57" s="15" t="s">
        <v>44</v>
      </c>
      <c r="D57" s="13" t="s">
        <v>45</v>
      </c>
      <c r="E57" s="16" t="s">
        <v>48</v>
      </c>
      <c r="F57" s="16" t="s">
        <v>47</v>
      </c>
      <c r="G57" s="11"/>
      <c r="H57" s="11"/>
      <c r="I57" s="11"/>
      <c r="J57" s="11"/>
      <c r="K57" s="17">
        <f t="shared" si="9"/>
        <v>0</v>
      </c>
      <c r="L57" s="11"/>
      <c r="M57" s="11"/>
      <c r="N57" s="17">
        <f t="shared" si="10"/>
        <v>0</v>
      </c>
      <c r="O57" s="11"/>
      <c r="P57" s="11"/>
      <c r="Q57" s="17">
        <f t="shared" si="11"/>
        <v>0</v>
      </c>
      <c r="R57" s="11"/>
      <c r="S57" s="11"/>
      <c r="T57" s="17">
        <f t="shared" si="12"/>
        <v>0</v>
      </c>
      <c r="U57" s="11"/>
      <c r="V57" s="11"/>
      <c r="W57" s="17">
        <f t="shared" si="13"/>
        <v>0</v>
      </c>
      <c r="X57" s="11">
        <v>2</v>
      </c>
      <c r="Y57" s="11">
        <v>0</v>
      </c>
      <c r="Z57" s="17">
        <f t="shared" si="14"/>
        <v>0</v>
      </c>
      <c r="AA57" s="11"/>
      <c r="AB57" s="11"/>
      <c r="AC57" s="17">
        <f t="shared" si="15"/>
        <v>0</v>
      </c>
      <c r="AD57" s="11"/>
      <c r="AE57" s="11"/>
      <c r="AF57" s="17">
        <f t="shared" si="16"/>
        <v>0</v>
      </c>
      <c r="AG57" s="11"/>
      <c r="AH57" s="11"/>
      <c r="AI57" s="17">
        <f t="shared" si="17"/>
        <v>0</v>
      </c>
    </row>
    <row r="58" spans="1:35" ht="15" customHeight="1" x14ac:dyDescent="0.35">
      <c r="A58" s="7">
        <v>55</v>
      </c>
      <c r="B58" s="8">
        <v>46198</v>
      </c>
      <c r="C58" s="9" t="s">
        <v>44</v>
      </c>
      <c r="D58" s="7" t="s">
        <v>65</v>
      </c>
      <c r="E58" s="10" t="s">
        <v>72</v>
      </c>
      <c r="F58" s="10" t="s">
        <v>66</v>
      </c>
      <c r="G58" s="11"/>
      <c r="H58" s="11"/>
      <c r="I58" s="11"/>
      <c r="J58" s="11"/>
      <c r="K58" s="12">
        <f t="shared" si="9"/>
        <v>0</v>
      </c>
      <c r="L58" s="11"/>
      <c r="M58" s="11"/>
      <c r="N58" s="12">
        <f t="shared" si="10"/>
        <v>0</v>
      </c>
      <c r="O58" s="11"/>
      <c r="P58" s="11"/>
      <c r="Q58" s="12">
        <f t="shared" si="11"/>
        <v>0</v>
      </c>
      <c r="R58" s="11"/>
      <c r="S58" s="11"/>
      <c r="T58" s="12">
        <f t="shared" si="12"/>
        <v>0</v>
      </c>
      <c r="U58" s="11"/>
      <c r="V58" s="11"/>
      <c r="W58" s="12">
        <f t="shared" si="13"/>
        <v>0</v>
      </c>
      <c r="X58" s="11">
        <v>1</v>
      </c>
      <c r="Y58" s="11">
        <v>3</v>
      </c>
      <c r="Z58" s="12">
        <f t="shared" si="14"/>
        <v>0</v>
      </c>
      <c r="AA58" s="11"/>
      <c r="AB58" s="11"/>
      <c r="AC58" s="12">
        <f t="shared" si="15"/>
        <v>0</v>
      </c>
      <c r="AD58" s="11"/>
      <c r="AE58" s="11"/>
      <c r="AF58" s="12">
        <f t="shared" si="16"/>
        <v>0</v>
      </c>
      <c r="AG58" s="11"/>
      <c r="AH58" s="11"/>
      <c r="AI58" s="12">
        <f t="shared" si="17"/>
        <v>0</v>
      </c>
    </row>
    <row r="59" spans="1:35" ht="15" customHeight="1" x14ac:dyDescent="0.35">
      <c r="A59" s="13">
        <v>56</v>
      </c>
      <c r="B59" s="14">
        <v>46198</v>
      </c>
      <c r="C59" s="15" t="s">
        <v>44</v>
      </c>
      <c r="D59" s="13" t="s">
        <v>65</v>
      </c>
      <c r="E59" s="16" t="s">
        <v>67</v>
      </c>
      <c r="F59" s="16" t="s">
        <v>71</v>
      </c>
      <c r="G59" s="11"/>
      <c r="H59" s="11"/>
      <c r="I59" s="11"/>
      <c r="J59" s="11"/>
      <c r="K59" s="17">
        <f t="shared" si="9"/>
        <v>0</v>
      </c>
      <c r="L59" s="11"/>
      <c r="M59" s="11"/>
      <c r="N59" s="17">
        <f t="shared" si="10"/>
        <v>0</v>
      </c>
      <c r="O59" s="11"/>
      <c r="P59" s="11"/>
      <c r="Q59" s="17">
        <f t="shared" si="11"/>
        <v>0</v>
      </c>
      <c r="R59" s="11"/>
      <c r="S59" s="11"/>
      <c r="T59" s="17">
        <f t="shared" si="12"/>
        <v>0</v>
      </c>
      <c r="U59" s="11"/>
      <c r="V59" s="11"/>
      <c r="W59" s="17">
        <f t="shared" si="13"/>
        <v>0</v>
      </c>
      <c r="X59" s="11">
        <v>1</v>
      </c>
      <c r="Y59" s="11">
        <v>1</v>
      </c>
      <c r="Z59" s="17">
        <f t="shared" si="14"/>
        <v>0</v>
      </c>
      <c r="AA59" s="11"/>
      <c r="AB59" s="11"/>
      <c r="AC59" s="17">
        <f t="shared" si="15"/>
        <v>0</v>
      </c>
      <c r="AD59" s="11"/>
      <c r="AE59" s="11"/>
      <c r="AF59" s="17">
        <f t="shared" si="16"/>
        <v>0</v>
      </c>
      <c r="AG59" s="11"/>
      <c r="AH59" s="11"/>
      <c r="AI59" s="17">
        <f t="shared" si="17"/>
        <v>0</v>
      </c>
    </row>
    <row r="60" spans="1:35" ht="15" customHeight="1" x14ac:dyDescent="0.35">
      <c r="A60" s="7">
        <v>57</v>
      </c>
      <c r="B60" s="8">
        <v>46198</v>
      </c>
      <c r="C60" s="9" t="s">
        <v>44</v>
      </c>
      <c r="D60" s="7" t="s">
        <v>68</v>
      </c>
      <c r="E60" s="10" t="s">
        <v>73</v>
      </c>
      <c r="F60" s="10" t="s">
        <v>69</v>
      </c>
      <c r="G60" s="11"/>
      <c r="H60" s="11"/>
      <c r="I60" s="11"/>
      <c r="J60" s="11"/>
      <c r="K60" s="12">
        <f t="shared" si="9"/>
        <v>0</v>
      </c>
      <c r="L60" s="11"/>
      <c r="M60" s="11"/>
      <c r="N60" s="12">
        <f t="shared" si="10"/>
        <v>0</v>
      </c>
      <c r="O60" s="11"/>
      <c r="P60" s="11"/>
      <c r="Q60" s="12">
        <f t="shared" si="11"/>
        <v>0</v>
      </c>
      <c r="R60" s="11"/>
      <c r="S60" s="11"/>
      <c r="T60" s="12">
        <f t="shared" si="12"/>
        <v>0</v>
      </c>
      <c r="U60" s="11"/>
      <c r="V60" s="11"/>
      <c r="W60" s="12">
        <f t="shared" si="13"/>
        <v>0</v>
      </c>
      <c r="X60" s="11">
        <v>0</v>
      </c>
      <c r="Y60" s="11">
        <v>2</v>
      </c>
      <c r="Z60" s="12">
        <f t="shared" si="14"/>
        <v>0</v>
      </c>
      <c r="AA60" s="11"/>
      <c r="AB60" s="11"/>
      <c r="AC60" s="12">
        <f t="shared" si="15"/>
        <v>0</v>
      </c>
      <c r="AD60" s="11"/>
      <c r="AE60" s="11"/>
      <c r="AF60" s="12">
        <f t="shared" si="16"/>
        <v>0</v>
      </c>
      <c r="AG60" s="11"/>
      <c r="AH60" s="11"/>
      <c r="AI60" s="12">
        <f t="shared" si="17"/>
        <v>0</v>
      </c>
    </row>
    <row r="61" spans="1:35" ht="15" customHeight="1" x14ac:dyDescent="0.35">
      <c r="A61" s="13">
        <v>58</v>
      </c>
      <c r="B61" s="14">
        <v>46198</v>
      </c>
      <c r="C61" s="15" t="s">
        <v>44</v>
      </c>
      <c r="D61" s="13" t="s">
        <v>68</v>
      </c>
      <c r="E61" s="16" t="s">
        <v>70</v>
      </c>
      <c r="F61" s="16" t="s">
        <v>74</v>
      </c>
      <c r="G61" s="11"/>
      <c r="H61" s="11"/>
      <c r="I61" s="11"/>
      <c r="J61" s="11"/>
      <c r="K61" s="17">
        <f t="shared" si="9"/>
        <v>0</v>
      </c>
      <c r="L61" s="11"/>
      <c r="M61" s="11"/>
      <c r="N61" s="17">
        <f t="shared" si="10"/>
        <v>0</v>
      </c>
      <c r="O61" s="11"/>
      <c r="P61" s="11"/>
      <c r="Q61" s="17">
        <f t="shared" si="11"/>
        <v>0</v>
      </c>
      <c r="R61" s="11"/>
      <c r="S61" s="11"/>
      <c r="T61" s="17">
        <f t="shared" si="12"/>
        <v>0</v>
      </c>
      <c r="U61" s="11"/>
      <c r="V61" s="11"/>
      <c r="W61" s="17">
        <f t="shared" si="13"/>
        <v>0</v>
      </c>
      <c r="X61" s="11">
        <v>2</v>
      </c>
      <c r="Y61" s="11">
        <v>2</v>
      </c>
      <c r="Z61" s="17">
        <f t="shared" si="14"/>
        <v>0</v>
      </c>
      <c r="AA61" s="11"/>
      <c r="AB61" s="11"/>
      <c r="AC61" s="17">
        <f t="shared" si="15"/>
        <v>0</v>
      </c>
      <c r="AD61" s="11"/>
      <c r="AE61" s="11"/>
      <c r="AF61" s="17">
        <f t="shared" si="16"/>
        <v>0</v>
      </c>
      <c r="AG61" s="11"/>
      <c r="AH61" s="11"/>
      <c r="AI61" s="17">
        <f t="shared" si="17"/>
        <v>0</v>
      </c>
    </row>
    <row r="62" spans="1:35" ht="15" customHeight="1" x14ac:dyDescent="0.35">
      <c r="A62" s="7">
        <v>59</v>
      </c>
      <c r="B62" s="8">
        <v>46198</v>
      </c>
      <c r="C62" s="9" t="s">
        <v>44</v>
      </c>
      <c r="D62" s="7" t="s">
        <v>53</v>
      </c>
      <c r="E62" s="10" t="s">
        <v>54</v>
      </c>
      <c r="F62" s="10" t="s">
        <v>64</v>
      </c>
      <c r="G62" s="11"/>
      <c r="H62" s="11"/>
      <c r="I62" s="11"/>
      <c r="J62" s="11"/>
      <c r="K62" s="12">
        <f t="shared" si="9"/>
        <v>0</v>
      </c>
      <c r="L62" s="11"/>
      <c r="M62" s="11"/>
      <c r="N62" s="12">
        <f t="shared" si="10"/>
        <v>0</v>
      </c>
      <c r="O62" s="11"/>
      <c r="P62" s="11"/>
      <c r="Q62" s="12">
        <f t="shared" si="11"/>
        <v>0</v>
      </c>
      <c r="R62" s="11"/>
      <c r="S62" s="11"/>
      <c r="T62" s="12">
        <f t="shared" si="12"/>
        <v>0</v>
      </c>
      <c r="U62" s="11"/>
      <c r="V62" s="11"/>
      <c r="W62" s="12">
        <f t="shared" si="13"/>
        <v>0</v>
      </c>
      <c r="X62" s="11">
        <v>0</v>
      </c>
      <c r="Y62" s="11">
        <v>3</v>
      </c>
      <c r="Z62" s="12">
        <f t="shared" si="14"/>
        <v>0</v>
      </c>
      <c r="AA62" s="11"/>
      <c r="AB62" s="11"/>
      <c r="AC62" s="12">
        <f t="shared" si="15"/>
        <v>0</v>
      </c>
      <c r="AD62" s="11"/>
      <c r="AE62" s="11"/>
      <c r="AF62" s="12">
        <f t="shared" si="16"/>
        <v>0</v>
      </c>
      <c r="AG62" s="11"/>
      <c r="AH62" s="11"/>
      <c r="AI62" s="12">
        <f t="shared" si="17"/>
        <v>0</v>
      </c>
    </row>
    <row r="63" spans="1:35" ht="15" customHeight="1" x14ac:dyDescent="0.35">
      <c r="A63" s="13">
        <v>60</v>
      </c>
      <c r="B63" s="14">
        <v>46198</v>
      </c>
      <c r="C63" s="15" t="s">
        <v>44</v>
      </c>
      <c r="D63" s="13" t="s">
        <v>53</v>
      </c>
      <c r="E63" s="16" t="s">
        <v>55</v>
      </c>
      <c r="F63" s="16" t="s">
        <v>63</v>
      </c>
      <c r="G63" s="11"/>
      <c r="H63" s="11"/>
      <c r="I63" s="11"/>
      <c r="J63" s="11"/>
      <c r="K63" s="17">
        <f t="shared" si="9"/>
        <v>0</v>
      </c>
      <c r="L63" s="11"/>
      <c r="M63" s="11"/>
      <c r="N63" s="17">
        <f t="shared" si="10"/>
        <v>0</v>
      </c>
      <c r="O63" s="11"/>
      <c r="P63" s="11"/>
      <c r="Q63" s="17">
        <f t="shared" si="11"/>
        <v>0</v>
      </c>
      <c r="R63" s="11"/>
      <c r="S63" s="11"/>
      <c r="T63" s="17">
        <f t="shared" si="12"/>
        <v>0</v>
      </c>
      <c r="U63" s="11"/>
      <c r="V63" s="11"/>
      <c r="W63" s="17">
        <f t="shared" si="13"/>
        <v>0</v>
      </c>
      <c r="X63" s="11">
        <v>0</v>
      </c>
      <c r="Y63" s="11">
        <v>2</v>
      </c>
      <c r="Z63" s="17">
        <f t="shared" si="14"/>
        <v>0</v>
      </c>
      <c r="AA63" s="11"/>
      <c r="AB63" s="11"/>
      <c r="AC63" s="17">
        <f t="shared" si="15"/>
        <v>0</v>
      </c>
      <c r="AD63" s="11"/>
      <c r="AE63" s="11"/>
      <c r="AF63" s="17">
        <f t="shared" si="16"/>
        <v>0</v>
      </c>
      <c r="AG63" s="11"/>
      <c r="AH63" s="11"/>
      <c r="AI63" s="17">
        <f t="shared" si="17"/>
        <v>0</v>
      </c>
    </row>
    <row r="64" spans="1:35" ht="15" customHeight="1" x14ac:dyDescent="0.35">
      <c r="A64" s="7">
        <v>61</v>
      </c>
      <c r="B64" s="8">
        <v>46199</v>
      </c>
      <c r="C64" s="9" t="s">
        <v>44</v>
      </c>
      <c r="D64" s="7" t="s">
        <v>85</v>
      </c>
      <c r="E64" s="10" t="s">
        <v>89</v>
      </c>
      <c r="F64" s="10" t="s">
        <v>86</v>
      </c>
      <c r="G64" s="11"/>
      <c r="H64" s="11"/>
      <c r="I64" s="11"/>
      <c r="J64" s="11"/>
      <c r="K64" s="12">
        <f t="shared" si="9"/>
        <v>0</v>
      </c>
      <c r="L64" s="11"/>
      <c r="M64" s="11"/>
      <c r="N64" s="12">
        <f t="shared" si="10"/>
        <v>0</v>
      </c>
      <c r="O64" s="11"/>
      <c r="P64" s="11"/>
      <c r="Q64" s="12">
        <f t="shared" si="11"/>
        <v>0</v>
      </c>
      <c r="R64" s="11"/>
      <c r="S64" s="11"/>
      <c r="T64" s="12">
        <f t="shared" si="12"/>
        <v>0</v>
      </c>
      <c r="U64" s="11"/>
      <c r="V64" s="11"/>
      <c r="W64" s="12">
        <f t="shared" si="13"/>
        <v>0</v>
      </c>
      <c r="X64" s="11">
        <v>1</v>
      </c>
      <c r="Y64" s="11">
        <v>2</v>
      </c>
      <c r="Z64" s="12">
        <f t="shared" si="14"/>
        <v>0</v>
      </c>
      <c r="AA64" s="11"/>
      <c r="AB64" s="11"/>
      <c r="AC64" s="12">
        <f t="shared" si="15"/>
        <v>0</v>
      </c>
      <c r="AD64" s="11"/>
      <c r="AE64" s="11"/>
      <c r="AF64" s="12">
        <f t="shared" si="16"/>
        <v>0</v>
      </c>
      <c r="AG64" s="11"/>
      <c r="AH64" s="11"/>
      <c r="AI64" s="12">
        <f t="shared" si="17"/>
        <v>0</v>
      </c>
    </row>
    <row r="65" spans="1:35" ht="15" customHeight="1" x14ac:dyDescent="0.35">
      <c r="A65" s="13">
        <v>62</v>
      </c>
      <c r="B65" s="14">
        <v>46199</v>
      </c>
      <c r="C65" s="15" t="s">
        <v>44</v>
      </c>
      <c r="D65" s="13" t="s">
        <v>85</v>
      </c>
      <c r="E65" s="16" t="s">
        <v>87</v>
      </c>
      <c r="F65" s="16" t="s">
        <v>88</v>
      </c>
      <c r="G65" s="11"/>
      <c r="H65" s="11"/>
      <c r="I65" s="11"/>
      <c r="J65" s="11"/>
      <c r="K65" s="17">
        <f t="shared" si="9"/>
        <v>0</v>
      </c>
      <c r="L65" s="11"/>
      <c r="M65" s="11"/>
      <c r="N65" s="17">
        <f t="shared" si="10"/>
        <v>0</v>
      </c>
      <c r="O65" s="11"/>
      <c r="P65" s="11"/>
      <c r="Q65" s="17">
        <f t="shared" si="11"/>
        <v>0</v>
      </c>
      <c r="R65" s="11"/>
      <c r="S65" s="11"/>
      <c r="T65" s="17">
        <f t="shared" si="12"/>
        <v>0</v>
      </c>
      <c r="U65" s="11"/>
      <c r="V65" s="11"/>
      <c r="W65" s="17">
        <f t="shared" si="13"/>
        <v>0</v>
      </c>
      <c r="X65" s="11">
        <v>0</v>
      </c>
      <c r="Y65" s="11">
        <v>2</v>
      </c>
      <c r="Z65" s="17">
        <f t="shared" si="14"/>
        <v>0</v>
      </c>
      <c r="AA65" s="11"/>
      <c r="AB65" s="11"/>
      <c r="AC65" s="17">
        <f t="shared" si="15"/>
        <v>0</v>
      </c>
      <c r="AD65" s="11"/>
      <c r="AE65" s="11"/>
      <c r="AF65" s="17">
        <f t="shared" si="16"/>
        <v>0</v>
      </c>
      <c r="AG65" s="11"/>
      <c r="AH65" s="11"/>
      <c r="AI65" s="17">
        <f t="shared" si="17"/>
        <v>0</v>
      </c>
    </row>
    <row r="66" spans="1:35" ht="15" customHeight="1" x14ac:dyDescent="0.35">
      <c r="A66" s="7">
        <v>63</v>
      </c>
      <c r="B66" s="8">
        <v>46199</v>
      </c>
      <c r="C66" s="9" t="s">
        <v>44</v>
      </c>
      <c r="D66" s="7" t="s">
        <v>75</v>
      </c>
      <c r="E66" s="10" t="s">
        <v>82</v>
      </c>
      <c r="F66" s="10" t="s">
        <v>76</v>
      </c>
      <c r="G66" s="11"/>
      <c r="H66" s="11"/>
      <c r="I66" s="11"/>
      <c r="J66" s="11"/>
      <c r="K66" s="12">
        <f t="shared" si="9"/>
        <v>0</v>
      </c>
      <c r="L66" s="11"/>
      <c r="M66" s="11"/>
      <c r="N66" s="12">
        <f t="shared" si="10"/>
        <v>0</v>
      </c>
      <c r="O66" s="11"/>
      <c r="P66" s="11"/>
      <c r="Q66" s="12">
        <f t="shared" si="11"/>
        <v>0</v>
      </c>
      <c r="R66" s="11"/>
      <c r="S66" s="11"/>
      <c r="T66" s="12">
        <f t="shared" si="12"/>
        <v>0</v>
      </c>
      <c r="U66" s="11"/>
      <c r="V66" s="11"/>
      <c r="W66" s="12">
        <f t="shared" si="13"/>
        <v>0</v>
      </c>
      <c r="X66" s="11">
        <v>0</v>
      </c>
      <c r="Y66" s="11">
        <v>2</v>
      </c>
      <c r="Z66" s="12">
        <f t="shared" si="14"/>
        <v>0</v>
      </c>
      <c r="AA66" s="11"/>
      <c r="AB66" s="11"/>
      <c r="AC66" s="12">
        <f t="shared" si="15"/>
        <v>0</v>
      </c>
      <c r="AD66" s="11"/>
      <c r="AE66" s="11"/>
      <c r="AF66" s="12">
        <f t="shared" si="16"/>
        <v>0</v>
      </c>
      <c r="AG66" s="11"/>
      <c r="AH66" s="11"/>
      <c r="AI66" s="12">
        <f t="shared" si="17"/>
        <v>0</v>
      </c>
    </row>
    <row r="67" spans="1:35" ht="15" customHeight="1" x14ac:dyDescent="0.35">
      <c r="A67" s="13">
        <v>64</v>
      </c>
      <c r="B67" s="14">
        <v>46199</v>
      </c>
      <c r="C67" s="15" t="s">
        <v>44</v>
      </c>
      <c r="D67" s="13" t="s">
        <v>75</v>
      </c>
      <c r="E67" s="16" t="s">
        <v>77</v>
      </c>
      <c r="F67" s="16" t="s">
        <v>81</v>
      </c>
      <c r="G67" s="11"/>
      <c r="H67" s="11"/>
      <c r="I67" s="11"/>
      <c r="J67" s="11"/>
      <c r="K67" s="17">
        <f t="shared" si="9"/>
        <v>0</v>
      </c>
      <c r="L67" s="11"/>
      <c r="M67" s="11"/>
      <c r="N67" s="17">
        <f t="shared" si="10"/>
        <v>0</v>
      </c>
      <c r="O67" s="11"/>
      <c r="P67" s="11"/>
      <c r="Q67" s="17">
        <f t="shared" si="11"/>
        <v>0</v>
      </c>
      <c r="R67" s="11"/>
      <c r="S67" s="11"/>
      <c r="T67" s="17">
        <f t="shared" si="12"/>
        <v>0</v>
      </c>
      <c r="U67" s="11"/>
      <c r="V67" s="11"/>
      <c r="W67" s="17">
        <f t="shared" si="13"/>
        <v>0</v>
      </c>
      <c r="X67" s="11">
        <v>0</v>
      </c>
      <c r="Y67" s="11">
        <v>1</v>
      </c>
      <c r="Z67" s="17">
        <f t="shared" si="14"/>
        <v>0</v>
      </c>
      <c r="AA67" s="11"/>
      <c r="AB67" s="11"/>
      <c r="AC67" s="17">
        <f t="shared" si="15"/>
        <v>0</v>
      </c>
      <c r="AD67" s="11"/>
      <c r="AE67" s="11"/>
      <c r="AF67" s="17">
        <f t="shared" si="16"/>
        <v>0</v>
      </c>
      <c r="AG67" s="11"/>
      <c r="AH67" s="11"/>
      <c r="AI67" s="17">
        <f t="shared" si="17"/>
        <v>0</v>
      </c>
    </row>
    <row r="68" spans="1:35" ht="15" customHeight="1" x14ac:dyDescent="0.35">
      <c r="A68" s="7">
        <v>65</v>
      </c>
      <c r="B68" s="8">
        <v>46199</v>
      </c>
      <c r="C68" s="9" t="s">
        <v>44</v>
      </c>
      <c r="D68" s="7" t="s">
        <v>78</v>
      </c>
      <c r="E68" s="10" t="s">
        <v>84</v>
      </c>
      <c r="F68" s="10" t="s">
        <v>79</v>
      </c>
      <c r="G68" s="11"/>
      <c r="H68" s="11"/>
      <c r="I68" s="11"/>
      <c r="J68" s="11"/>
      <c r="K68" s="12">
        <f t="shared" ref="K68:K99" si="18">IF(OR(I68="",J68="",$G68="",$H68=""),0,IF(AND(I68=$G68,J68=$H68),8,IF(SIGN(I68-J68)=SIGN($G68-$H68),3,0)))</f>
        <v>0</v>
      </c>
      <c r="L68" s="11"/>
      <c r="M68" s="11"/>
      <c r="N68" s="12">
        <f t="shared" ref="N68:N99" si="19">IF(OR(L68="",M68="",$G68="",$H68=""),0,IF(AND(L68=$G68,M68=$H68),8,IF(SIGN(L68-M68)=SIGN($G68-$H68),3,0)))</f>
        <v>0</v>
      </c>
      <c r="O68" s="11"/>
      <c r="P68" s="11"/>
      <c r="Q68" s="12">
        <f t="shared" ref="Q68:Q99" si="20">IF(OR(O68="",P68="",$G68="",$H68=""),0,IF(AND(O68=$G68,P68=$H68),8,IF(SIGN(O68-P68)=SIGN($G68-$H68),3,0)))</f>
        <v>0</v>
      </c>
      <c r="R68" s="11"/>
      <c r="S68" s="11"/>
      <c r="T68" s="12">
        <f t="shared" ref="T68:T99" si="21">IF(OR(R68="",S68="",$G68="",$H68=""),0,IF(AND(R68=$G68,S68=$H68),8,IF(SIGN(R68-S68)=SIGN($G68-$H68),3,0)))</f>
        <v>0</v>
      </c>
      <c r="U68" s="11"/>
      <c r="V68" s="11"/>
      <c r="W68" s="12">
        <f t="shared" ref="W68:W99" si="22">IF(OR(U68="",V68="",$G68="",$H68=""),0,IF(AND(U68=$G68,V68=$H68),8,IF(SIGN(U68-V68)=SIGN($G68-$H68),3,0)))</f>
        <v>0</v>
      </c>
      <c r="X68" s="11">
        <v>0</v>
      </c>
      <c r="Y68" s="11">
        <v>2</v>
      </c>
      <c r="Z68" s="12">
        <f t="shared" ref="Z68:Z99" si="23">IF(OR(X68="",Y68="",$G68="",$H68=""),0,IF(AND(X68=$G68,Y68=$H68),8,IF(SIGN(X68-Y68)=SIGN($G68-$H68),3,0)))</f>
        <v>0</v>
      </c>
      <c r="AA68" s="11"/>
      <c r="AB68" s="11"/>
      <c r="AC68" s="12">
        <f t="shared" ref="AC68:AC99" si="24">IF(OR(AA68="",AB68="",$G68="",$H68=""),0,IF(AND(AA68=$G68,AB68=$H68),8,IF(SIGN(AA68-AB68)=SIGN($G68-$H68),3,0)))</f>
        <v>0</v>
      </c>
      <c r="AD68" s="11"/>
      <c r="AE68" s="11"/>
      <c r="AF68" s="12">
        <f t="shared" ref="AF68:AF99" si="25">IF(OR(AD68="",AE68="",$G68="",$H68=""),0,IF(AND(AD68=$G68,AE68=$H68),8,IF(SIGN(AD68-AE68)=SIGN($G68-$H68),3,0)))</f>
        <v>0</v>
      </c>
      <c r="AG68" s="11"/>
      <c r="AH68" s="11"/>
      <c r="AI68" s="12">
        <f t="shared" ref="AI68:AI99" si="26">IF(OR(AG68="",AH68="",$G68="",$H68=""),0,IF(AND(AG68=$G68,AH68=$H68),8,IF(SIGN(AG68-AH68)=SIGN($G68-$H68),3,0)))</f>
        <v>0</v>
      </c>
    </row>
    <row r="69" spans="1:35" ht="15" customHeight="1" x14ac:dyDescent="0.35">
      <c r="A69" s="13">
        <v>66</v>
      </c>
      <c r="B69" s="14">
        <v>46199</v>
      </c>
      <c r="C69" s="15" t="s">
        <v>44</v>
      </c>
      <c r="D69" s="13" t="s">
        <v>78</v>
      </c>
      <c r="E69" s="16" t="s">
        <v>80</v>
      </c>
      <c r="F69" s="16" t="s">
        <v>83</v>
      </c>
      <c r="G69" s="11"/>
      <c r="H69" s="11"/>
      <c r="I69" s="11"/>
      <c r="J69" s="11"/>
      <c r="K69" s="17">
        <f t="shared" si="18"/>
        <v>0</v>
      </c>
      <c r="L69" s="11"/>
      <c r="M69" s="11"/>
      <c r="N69" s="17">
        <f t="shared" si="19"/>
        <v>0</v>
      </c>
      <c r="O69" s="11"/>
      <c r="P69" s="11"/>
      <c r="Q69" s="17">
        <f t="shared" si="20"/>
        <v>0</v>
      </c>
      <c r="R69" s="11"/>
      <c r="S69" s="11"/>
      <c r="T69" s="17">
        <f t="shared" si="21"/>
        <v>0</v>
      </c>
      <c r="U69" s="11"/>
      <c r="V69" s="11"/>
      <c r="W69" s="17">
        <f t="shared" si="22"/>
        <v>0</v>
      </c>
      <c r="X69" s="11">
        <v>3</v>
      </c>
      <c r="Y69" s="11">
        <v>0</v>
      </c>
      <c r="Z69" s="17">
        <f t="shared" si="23"/>
        <v>0</v>
      </c>
      <c r="AA69" s="11"/>
      <c r="AB69" s="11"/>
      <c r="AC69" s="17">
        <f t="shared" si="24"/>
        <v>0</v>
      </c>
      <c r="AD69" s="11"/>
      <c r="AE69" s="11"/>
      <c r="AF69" s="17">
        <f t="shared" si="25"/>
        <v>0</v>
      </c>
      <c r="AG69" s="11"/>
      <c r="AH69" s="11"/>
      <c r="AI69" s="17">
        <f t="shared" si="26"/>
        <v>0</v>
      </c>
    </row>
    <row r="70" spans="1:35" ht="15" customHeight="1" x14ac:dyDescent="0.35">
      <c r="A70" s="7">
        <v>67</v>
      </c>
      <c r="B70" s="8">
        <v>46200</v>
      </c>
      <c r="C70" s="9" t="s">
        <v>44</v>
      </c>
      <c r="D70" s="7" t="s">
        <v>98</v>
      </c>
      <c r="E70" s="10" t="s">
        <v>102</v>
      </c>
      <c r="F70" s="10" t="s">
        <v>99</v>
      </c>
      <c r="G70" s="11"/>
      <c r="H70" s="11"/>
      <c r="I70" s="11"/>
      <c r="J70" s="11"/>
      <c r="K70" s="12">
        <f t="shared" si="18"/>
        <v>0</v>
      </c>
      <c r="L70" s="11"/>
      <c r="M70" s="11"/>
      <c r="N70" s="12">
        <f t="shared" si="19"/>
        <v>0</v>
      </c>
      <c r="O70" s="11"/>
      <c r="P70" s="11"/>
      <c r="Q70" s="12">
        <f t="shared" si="20"/>
        <v>0</v>
      </c>
      <c r="R70" s="11"/>
      <c r="S70" s="11"/>
      <c r="T70" s="12">
        <f t="shared" si="21"/>
        <v>0</v>
      </c>
      <c r="U70" s="11"/>
      <c r="V70" s="11"/>
      <c r="W70" s="12">
        <f t="shared" si="22"/>
        <v>0</v>
      </c>
      <c r="X70" s="11">
        <v>0</v>
      </c>
      <c r="Y70" s="11">
        <v>2</v>
      </c>
      <c r="Z70" s="12">
        <f t="shared" si="23"/>
        <v>0</v>
      </c>
      <c r="AA70" s="11"/>
      <c r="AB70" s="11"/>
      <c r="AC70" s="12">
        <f t="shared" si="24"/>
        <v>0</v>
      </c>
      <c r="AD70" s="11"/>
      <c r="AE70" s="11"/>
      <c r="AF70" s="12">
        <f t="shared" si="25"/>
        <v>0</v>
      </c>
      <c r="AG70" s="11"/>
      <c r="AH70" s="11"/>
      <c r="AI70" s="12">
        <f t="shared" si="26"/>
        <v>0</v>
      </c>
    </row>
    <row r="71" spans="1:35" ht="15" customHeight="1" x14ac:dyDescent="0.35">
      <c r="A71" s="13">
        <v>68</v>
      </c>
      <c r="B71" s="14">
        <v>46200</v>
      </c>
      <c r="C71" s="15" t="s">
        <v>44</v>
      </c>
      <c r="D71" s="13" t="s">
        <v>98</v>
      </c>
      <c r="E71" s="16" t="s">
        <v>100</v>
      </c>
      <c r="F71" s="16" t="s">
        <v>101</v>
      </c>
      <c r="G71" s="11"/>
      <c r="H71" s="11"/>
      <c r="I71" s="11"/>
      <c r="J71" s="11"/>
      <c r="K71" s="17">
        <f t="shared" si="18"/>
        <v>0</v>
      </c>
      <c r="L71" s="11"/>
      <c r="M71" s="11"/>
      <c r="N71" s="17">
        <f t="shared" si="19"/>
        <v>0</v>
      </c>
      <c r="O71" s="11"/>
      <c r="P71" s="11"/>
      <c r="Q71" s="17">
        <f t="shared" si="20"/>
        <v>0</v>
      </c>
      <c r="R71" s="11"/>
      <c r="S71" s="11"/>
      <c r="T71" s="17">
        <f t="shared" si="21"/>
        <v>0</v>
      </c>
      <c r="U71" s="11"/>
      <c r="V71" s="11"/>
      <c r="W71" s="17">
        <f t="shared" si="22"/>
        <v>0</v>
      </c>
      <c r="X71" s="11">
        <v>0</v>
      </c>
      <c r="Y71" s="11">
        <v>0</v>
      </c>
      <c r="Z71" s="17">
        <f t="shared" si="23"/>
        <v>0</v>
      </c>
      <c r="AA71" s="11"/>
      <c r="AB71" s="11"/>
      <c r="AC71" s="17">
        <f t="shared" si="24"/>
        <v>0</v>
      </c>
      <c r="AD71" s="11"/>
      <c r="AE71" s="11"/>
      <c r="AF71" s="17">
        <f t="shared" si="25"/>
        <v>0</v>
      </c>
      <c r="AG71" s="11"/>
      <c r="AH71" s="11"/>
      <c r="AI71" s="17">
        <f t="shared" si="26"/>
        <v>0</v>
      </c>
    </row>
    <row r="72" spans="1:35" ht="15" customHeight="1" x14ac:dyDescent="0.35">
      <c r="A72" s="7">
        <v>69</v>
      </c>
      <c r="B72" s="8">
        <v>46200</v>
      </c>
      <c r="C72" s="9" t="s">
        <v>44</v>
      </c>
      <c r="D72" s="7" t="s">
        <v>95</v>
      </c>
      <c r="E72" s="10" t="s">
        <v>104</v>
      </c>
      <c r="F72" s="10" t="s">
        <v>96</v>
      </c>
      <c r="G72" s="11"/>
      <c r="H72" s="11"/>
      <c r="I72" s="11"/>
      <c r="J72" s="11"/>
      <c r="K72" s="12">
        <f t="shared" si="18"/>
        <v>0</v>
      </c>
      <c r="L72" s="11"/>
      <c r="M72" s="11"/>
      <c r="N72" s="12">
        <f t="shared" si="19"/>
        <v>0</v>
      </c>
      <c r="O72" s="11"/>
      <c r="P72" s="11"/>
      <c r="Q72" s="12">
        <f t="shared" si="20"/>
        <v>0</v>
      </c>
      <c r="R72" s="11"/>
      <c r="S72" s="11"/>
      <c r="T72" s="12">
        <f t="shared" si="21"/>
        <v>0</v>
      </c>
      <c r="U72" s="11"/>
      <c r="V72" s="11"/>
      <c r="W72" s="12">
        <f t="shared" si="22"/>
        <v>0</v>
      </c>
      <c r="X72" s="11">
        <v>1</v>
      </c>
      <c r="Y72" s="11">
        <v>3</v>
      </c>
      <c r="Z72" s="12">
        <f t="shared" si="23"/>
        <v>0</v>
      </c>
      <c r="AA72" s="11"/>
      <c r="AB72" s="11"/>
      <c r="AC72" s="12">
        <f t="shared" si="24"/>
        <v>0</v>
      </c>
      <c r="AD72" s="11"/>
      <c r="AE72" s="11"/>
      <c r="AF72" s="12">
        <f t="shared" si="25"/>
        <v>0</v>
      </c>
      <c r="AG72" s="11"/>
      <c r="AH72" s="11"/>
      <c r="AI72" s="12">
        <f t="shared" si="26"/>
        <v>0</v>
      </c>
    </row>
    <row r="73" spans="1:35" ht="15" customHeight="1" x14ac:dyDescent="0.35">
      <c r="A73" s="13">
        <v>70</v>
      </c>
      <c r="B73" s="14">
        <v>46200</v>
      </c>
      <c r="C73" s="15" t="s">
        <v>44</v>
      </c>
      <c r="D73" s="13" t="s">
        <v>95</v>
      </c>
      <c r="E73" s="16" t="s">
        <v>97</v>
      </c>
      <c r="F73" s="16" t="s">
        <v>103</v>
      </c>
      <c r="G73" s="11"/>
      <c r="H73" s="11"/>
      <c r="I73" s="11"/>
      <c r="J73" s="11"/>
      <c r="K73" s="17">
        <f t="shared" si="18"/>
        <v>0</v>
      </c>
      <c r="L73" s="11"/>
      <c r="M73" s="11"/>
      <c r="N73" s="17">
        <f t="shared" si="19"/>
        <v>0</v>
      </c>
      <c r="O73" s="11"/>
      <c r="P73" s="11"/>
      <c r="Q73" s="17">
        <f t="shared" si="20"/>
        <v>0</v>
      </c>
      <c r="R73" s="11"/>
      <c r="S73" s="11"/>
      <c r="T73" s="17">
        <f t="shared" si="21"/>
        <v>0</v>
      </c>
      <c r="U73" s="11"/>
      <c r="V73" s="11"/>
      <c r="W73" s="17">
        <f t="shared" si="22"/>
        <v>0</v>
      </c>
      <c r="X73" s="11">
        <v>1</v>
      </c>
      <c r="Y73" s="11">
        <v>1</v>
      </c>
      <c r="Z73" s="17">
        <f t="shared" si="23"/>
        <v>0</v>
      </c>
      <c r="AA73" s="11"/>
      <c r="AB73" s="11"/>
      <c r="AC73" s="17">
        <f t="shared" si="24"/>
        <v>0</v>
      </c>
      <c r="AD73" s="11"/>
      <c r="AE73" s="11"/>
      <c r="AF73" s="17">
        <f t="shared" si="25"/>
        <v>0</v>
      </c>
      <c r="AG73" s="11"/>
      <c r="AH73" s="11"/>
      <c r="AI73" s="17">
        <f t="shared" si="26"/>
        <v>0</v>
      </c>
    </row>
    <row r="74" spans="1:35" ht="15" customHeight="1" x14ac:dyDescent="0.35">
      <c r="A74" s="7">
        <v>71</v>
      </c>
      <c r="B74" s="8">
        <v>46200</v>
      </c>
      <c r="C74" s="9" t="s">
        <v>44</v>
      </c>
      <c r="D74" s="7" t="s">
        <v>90</v>
      </c>
      <c r="E74" s="10" t="s">
        <v>91</v>
      </c>
      <c r="F74" s="10" t="s">
        <v>94</v>
      </c>
      <c r="G74" s="11"/>
      <c r="H74" s="11"/>
      <c r="I74" s="11"/>
      <c r="J74" s="11"/>
      <c r="K74" s="12">
        <f t="shared" si="18"/>
        <v>0</v>
      </c>
      <c r="L74" s="11"/>
      <c r="M74" s="11"/>
      <c r="N74" s="12">
        <f t="shared" si="19"/>
        <v>0</v>
      </c>
      <c r="O74" s="11"/>
      <c r="P74" s="11"/>
      <c r="Q74" s="12">
        <f t="shared" si="20"/>
        <v>0</v>
      </c>
      <c r="R74" s="11"/>
      <c r="S74" s="11"/>
      <c r="T74" s="12">
        <f t="shared" si="21"/>
        <v>0</v>
      </c>
      <c r="U74" s="11"/>
      <c r="V74" s="11"/>
      <c r="W74" s="12">
        <f t="shared" si="22"/>
        <v>0</v>
      </c>
      <c r="X74" s="11">
        <v>2</v>
      </c>
      <c r="Y74" s="11">
        <v>0</v>
      </c>
      <c r="Z74" s="12">
        <f t="shared" si="23"/>
        <v>0</v>
      </c>
      <c r="AA74" s="11"/>
      <c r="AB74" s="11"/>
      <c r="AC74" s="12">
        <f t="shared" si="24"/>
        <v>0</v>
      </c>
      <c r="AD74" s="11"/>
      <c r="AE74" s="11"/>
      <c r="AF74" s="12">
        <f t="shared" si="25"/>
        <v>0</v>
      </c>
      <c r="AG74" s="11"/>
      <c r="AH74" s="11"/>
      <c r="AI74" s="12">
        <f t="shared" si="26"/>
        <v>0</v>
      </c>
    </row>
    <row r="75" spans="1:35" ht="15" customHeight="1" x14ac:dyDescent="0.35">
      <c r="A75" s="13">
        <v>72</v>
      </c>
      <c r="B75" s="14">
        <v>46200</v>
      </c>
      <c r="C75" s="15" t="s">
        <v>44</v>
      </c>
      <c r="D75" s="13" t="s">
        <v>90</v>
      </c>
      <c r="E75" s="16" t="s">
        <v>92</v>
      </c>
      <c r="F75" s="16" t="s">
        <v>93</v>
      </c>
      <c r="G75" s="11"/>
      <c r="H75" s="11"/>
      <c r="I75" s="11"/>
      <c r="J75" s="11"/>
      <c r="K75" s="17">
        <f t="shared" si="18"/>
        <v>0</v>
      </c>
      <c r="L75" s="11"/>
      <c r="M75" s="11"/>
      <c r="N75" s="17">
        <f t="shared" si="19"/>
        <v>0</v>
      </c>
      <c r="O75" s="11"/>
      <c r="P75" s="11"/>
      <c r="Q75" s="17">
        <f t="shared" si="20"/>
        <v>0</v>
      </c>
      <c r="R75" s="11"/>
      <c r="S75" s="11"/>
      <c r="T75" s="17">
        <f t="shared" si="21"/>
        <v>0</v>
      </c>
      <c r="U75" s="11"/>
      <c r="V75" s="11"/>
      <c r="W75" s="17">
        <f t="shared" si="22"/>
        <v>0</v>
      </c>
      <c r="X75" s="11">
        <v>0</v>
      </c>
      <c r="Y75" s="11">
        <v>1</v>
      </c>
      <c r="Z75" s="17">
        <f t="shared" si="23"/>
        <v>0</v>
      </c>
      <c r="AA75" s="11"/>
      <c r="AB75" s="11"/>
      <c r="AC75" s="17">
        <f t="shared" si="24"/>
        <v>0</v>
      </c>
      <c r="AD75" s="11"/>
      <c r="AE75" s="11"/>
      <c r="AF75" s="17">
        <f t="shared" si="25"/>
        <v>0</v>
      </c>
      <c r="AG75" s="11"/>
      <c r="AH75" s="11"/>
      <c r="AI75" s="17">
        <f t="shared" si="26"/>
        <v>0</v>
      </c>
    </row>
    <row r="76" spans="1:35" ht="15" customHeight="1" x14ac:dyDescent="0.35">
      <c r="A76" s="18">
        <v>73</v>
      </c>
      <c r="B76" s="19">
        <v>46201</v>
      </c>
      <c r="C76" s="20" t="s">
        <v>105</v>
      </c>
      <c r="D76" s="18"/>
      <c r="E76" s="21" t="s">
        <v>106</v>
      </c>
      <c r="F76" s="21" t="s">
        <v>107</v>
      </c>
      <c r="G76" s="11"/>
      <c r="H76" s="11"/>
      <c r="I76" s="11"/>
      <c r="J76" s="11"/>
      <c r="K76" s="22">
        <f t="shared" si="18"/>
        <v>0</v>
      </c>
      <c r="L76" s="11"/>
      <c r="M76" s="11"/>
      <c r="N76" s="22">
        <f t="shared" si="19"/>
        <v>0</v>
      </c>
      <c r="O76" s="11"/>
      <c r="P76" s="11"/>
      <c r="Q76" s="22">
        <f t="shared" si="20"/>
        <v>0</v>
      </c>
      <c r="R76" s="11"/>
      <c r="S76" s="11"/>
      <c r="T76" s="22">
        <f t="shared" si="21"/>
        <v>0</v>
      </c>
      <c r="U76" s="11"/>
      <c r="V76" s="11"/>
      <c r="W76" s="22">
        <f t="shared" si="22"/>
        <v>0</v>
      </c>
      <c r="X76" s="11"/>
      <c r="Y76" s="11"/>
      <c r="Z76" s="22">
        <f t="shared" si="23"/>
        <v>0</v>
      </c>
      <c r="AA76" s="11"/>
      <c r="AB76" s="11"/>
      <c r="AC76" s="22">
        <f t="shared" si="24"/>
        <v>0</v>
      </c>
      <c r="AD76" s="11"/>
      <c r="AE76" s="11"/>
      <c r="AF76" s="22">
        <f t="shared" si="25"/>
        <v>0</v>
      </c>
      <c r="AG76" s="11"/>
      <c r="AH76" s="11"/>
      <c r="AI76" s="22">
        <f t="shared" si="26"/>
        <v>0</v>
      </c>
    </row>
    <row r="77" spans="1:35" ht="15" customHeight="1" x14ac:dyDescent="0.35">
      <c r="A77" s="18">
        <v>74</v>
      </c>
      <c r="B77" s="19">
        <v>46202</v>
      </c>
      <c r="C77" s="20" t="s">
        <v>105</v>
      </c>
      <c r="D77" s="18"/>
      <c r="E77" s="21" t="s">
        <v>108</v>
      </c>
      <c r="F77" s="21" t="s">
        <v>109</v>
      </c>
      <c r="G77" s="11"/>
      <c r="H77" s="11"/>
      <c r="I77" s="11"/>
      <c r="J77" s="11"/>
      <c r="K77" s="22">
        <f t="shared" si="18"/>
        <v>0</v>
      </c>
      <c r="L77" s="11"/>
      <c r="M77" s="11"/>
      <c r="N77" s="22">
        <f t="shared" si="19"/>
        <v>0</v>
      </c>
      <c r="O77" s="11"/>
      <c r="P77" s="11"/>
      <c r="Q77" s="22">
        <f t="shared" si="20"/>
        <v>0</v>
      </c>
      <c r="R77" s="11"/>
      <c r="S77" s="11"/>
      <c r="T77" s="22">
        <f t="shared" si="21"/>
        <v>0</v>
      </c>
      <c r="U77" s="11"/>
      <c r="V77" s="11"/>
      <c r="W77" s="22">
        <f t="shared" si="22"/>
        <v>0</v>
      </c>
      <c r="X77" s="11"/>
      <c r="Y77" s="11"/>
      <c r="Z77" s="22">
        <f t="shared" si="23"/>
        <v>0</v>
      </c>
      <c r="AA77" s="11"/>
      <c r="AB77" s="11"/>
      <c r="AC77" s="22">
        <f t="shared" si="24"/>
        <v>0</v>
      </c>
      <c r="AD77" s="11"/>
      <c r="AE77" s="11"/>
      <c r="AF77" s="22">
        <f t="shared" si="25"/>
        <v>0</v>
      </c>
      <c r="AG77" s="11"/>
      <c r="AH77" s="11"/>
      <c r="AI77" s="22">
        <f t="shared" si="26"/>
        <v>0</v>
      </c>
    </row>
    <row r="78" spans="1:35" ht="15" customHeight="1" x14ac:dyDescent="0.35">
      <c r="A78" s="18">
        <v>75</v>
      </c>
      <c r="B78" s="19">
        <v>46202</v>
      </c>
      <c r="C78" s="20" t="s">
        <v>105</v>
      </c>
      <c r="D78" s="18"/>
      <c r="E78" s="21" t="s">
        <v>110</v>
      </c>
      <c r="F78" s="21" t="s">
        <v>111</v>
      </c>
      <c r="G78" s="11"/>
      <c r="H78" s="11"/>
      <c r="I78" s="11"/>
      <c r="J78" s="11"/>
      <c r="K78" s="22">
        <f t="shared" si="18"/>
        <v>0</v>
      </c>
      <c r="L78" s="11"/>
      <c r="M78" s="11"/>
      <c r="N78" s="22">
        <f t="shared" si="19"/>
        <v>0</v>
      </c>
      <c r="O78" s="11"/>
      <c r="P78" s="11"/>
      <c r="Q78" s="22">
        <f t="shared" si="20"/>
        <v>0</v>
      </c>
      <c r="R78" s="11"/>
      <c r="S78" s="11"/>
      <c r="T78" s="22">
        <f t="shared" si="21"/>
        <v>0</v>
      </c>
      <c r="U78" s="11"/>
      <c r="V78" s="11"/>
      <c r="W78" s="22">
        <f t="shared" si="22"/>
        <v>0</v>
      </c>
      <c r="X78" s="11"/>
      <c r="Y78" s="11"/>
      <c r="Z78" s="22">
        <f t="shared" si="23"/>
        <v>0</v>
      </c>
      <c r="AA78" s="11"/>
      <c r="AB78" s="11"/>
      <c r="AC78" s="22">
        <f t="shared" si="24"/>
        <v>0</v>
      </c>
      <c r="AD78" s="11"/>
      <c r="AE78" s="11"/>
      <c r="AF78" s="22">
        <f t="shared" si="25"/>
        <v>0</v>
      </c>
      <c r="AG78" s="11"/>
      <c r="AH78" s="11"/>
      <c r="AI78" s="22">
        <f t="shared" si="26"/>
        <v>0</v>
      </c>
    </row>
    <row r="79" spans="1:35" ht="15" customHeight="1" x14ac:dyDescent="0.35">
      <c r="A79" s="18">
        <v>76</v>
      </c>
      <c r="B79" s="19">
        <v>46202</v>
      </c>
      <c r="C79" s="20" t="s">
        <v>105</v>
      </c>
      <c r="D79" s="18"/>
      <c r="E79" s="21" t="s">
        <v>112</v>
      </c>
      <c r="F79" s="21" t="s">
        <v>113</v>
      </c>
      <c r="G79" s="11"/>
      <c r="H79" s="11"/>
      <c r="I79" s="11"/>
      <c r="J79" s="11"/>
      <c r="K79" s="22">
        <f t="shared" si="18"/>
        <v>0</v>
      </c>
      <c r="L79" s="11"/>
      <c r="M79" s="11"/>
      <c r="N79" s="22">
        <f t="shared" si="19"/>
        <v>0</v>
      </c>
      <c r="O79" s="11"/>
      <c r="P79" s="11"/>
      <c r="Q79" s="22">
        <f t="shared" si="20"/>
        <v>0</v>
      </c>
      <c r="R79" s="11"/>
      <c r="S79" s="11"/>
      <c r="T79" s="22">
        <f t="shared" si="21"/>
        <v>0</v>
      </c>
      <c r="U79" s="11"/>
      <c r="V79" s="11"/>
      <c r="W79" s="22">
        <f t="shared" si="22"/>
        <v>0</v>
      </c>
      <c r="X79" s="11"/>
      <c r="Y79" s="11"/>
      <c r="Z79" s="22">
        <f t="shared" si="23"/>
        <v>0</v>
      </c>
      <c r="AA79" s="11"/>
      <c r="AB79" s="11"/>
      <c r="AC79" s="22">
        <f t="shared" si="24"/>
        <v>0</v>
      </c>
      <c r="AD79" s="11"/>
      <c r="AE79" s="11"/>
      <c r="AF79" s="22">
        <f t="shared" si="25"/>
        <v>0</v>
      </c>
      <c r="AG79" s="11"/>
      <c r="AH79" s="11"/>
      <c r="AI79" s="22">
        <f t="shared" si="26"/>
        <v>0</v>
      </c>
    </row>
    <row r="80" spans="1:35" ht="15" customHeight="1" x14ac:dyDescent="0.35">
      <c r="A80" s="18">
        <v>77</v>
      </c>
      <c r="B80" s="19">
        <v>46203</v>
      </c>
      <c r="C80" s="20" t="s">
        <v>105</v>
      </c>
      <c r="D80" s="18"/>
      <c r="E80" s="21" t="s">
        <v>114</v>
      </c>
      <c r="F80" s="21" t="s">
        <v>115</v>
      </c>
      <c r="G80" s="11"/>
      <c r="H80" s="11"/>
      <c r="I80" s="11"/>
      <c r="J80" s="11"/>
      <c r="K80" s="22">
        <f t="shared" si="18"/>
        <v>0</v>
      </c>
      <c r="L80" s="11"/>
      <c r="M80" s="11"/>
      <c r="N80" s="22">
        <f t="shared" si="19"/>
        <v>0</v>
      </c>
      <c r="O80" s="11"/>
      <c r="P80" s="11"/>
      <c r="Q80" s="22">
        <f t="shared" si="20"/>
        <v>0</v>
      </c>
      <c r="R80" s="11"/>
      <c r="S80" s="11"/>
      <c r="T80" s="22">
        <f t="shared" si="21"/>
        <v>0</v>
      </c>
      <c r="U80" s="11"/>
      <c r="V80" s="11"/>
      <c r="W80" s="22">
        <f t="shared" si="22"/>
        <v>0</v>
      </c>
      <c r="X80" s="11"/>
      <c r="Y80" s="11"/>
      <c r="Z80" s="22">
        <f t="shared" si="23"/>
        <v>0</v>
      </c>
      <c r="AA80" s="11"/>
      <c r="AB80" s="11"/>
      <c r="AC80" s="22">
        <f t="shared" si="24"/>
        <v>0</v>
      </c>
      <c r="AD80" s="11"/>
      <c r="AE80" s="11"/>
      <c r="AF80" s="22">
        <f t="shared" si="25"/>
        <v>0</v>
      </c>
      <c r="AG80" s="11"/>
      <c r="AH80" s="11"/>
      <c r="AI80" s="22">
        <f t="shared" si="26"/>
        <v>0</v>
      </c>
    </row>
    <row r="81" spans="1:35" ht="15" customHeight="1" x14ac:dyDescent="0.35">
      <c r="A81" s="18">
        <v>78</v>
      </c>
      <c r="B81" s="19">
        <v>46203</v>
      </c>
      <c r="C81" s="20" t="s">
        <v>105</v>
      </c>
      <c r="D81" s="18"/>
      <c r="E81" s="21" t="s">
        <v>116</v>
      </c>
      <c r="F81" s="21" t="s">
        <v>117</v>
      </c>
      <c r="G81" s="11"/>
      <c r="H81" s="11"/>
      <c r="I81" s="11"/>
      <c r="J81" s="11"/>
      <c r="K81" s="22">
        <f t="shared" si="18"/>
        <v>0</v>
      </c>
      <c r="L81" s="11"/>
      <c r="M81" s="11"/>
      <c r="N81" s="22">
        <f t="shared" si="19"/>
        <v>0</v>
      </c>
      <c r="O81" s="11"/>
      <c r="P81" s="11"/>
      <c r="Q81" s="22">
        <f t="shared" si="20"/>
        <v>0</v>
      </c>
      <c r="R81" s="11"/>
      <c r="S81" s="11"/>
      <c r="T81" s="22">
        <f t="shared" si="21"/>
        <v>0</v>
      </c>
      <c r="U81" s="11"/>
      <c r="V81" s="11"/>
      <c r="W81" s="22">
        <f t="shared" si="22"/>
        <v>0</v>
      </c>
      <c r="X81" s="11"/>
      <c r="Y81" s="11"/>
      <c r="Z81" s="22">
        <f t="shared" si="23"/>
        <v>0</v>
      </c>
      <c r="AA81" s="11"/>
      <c r="AB81" s="11"/>
      <c r="AC81" s="22">
        <f t="shared" si="24"/>
        <v>0</v>
      </c>
      <c r="AD81" s="11"/>
      <c r="AE81" s="11"/>
      <c r="AF81" s="22">
        <f t="shared" si="25"/>
        <v>0</v>
      </c>
      <c r="AG81" s="11"/>
      <c r="AH81" s="11"/>
      <c r="AI81" s="22">
        <f t="shared" si="26"/>
        <v>0</v>
      </c>
    </row>
    <row r="82" spans="1:35" ht="15" customHeight="1" x14ac:dyDescent="0.35">
      <c r="A82" s="18">
        <v>79</v>
      </c>
      <c r="B82" s="19">
        <v>46203</v>
      </c>
      <c r="C82" s="20" t="s">
        <v>105</v>
      </c>
      <c r="D82" s="18"/>
      <c r="E82" s="21" t="s">
        <v>118</v>
      </c>
      <c r="F82" s="21" t="s">
        <v>119</v>
      </c>
      <c r="G82" s="11"/>
      <c r="H82" s="11"/>
      <c r="I82" s="11"/>
      <c r="J82" s="11"/>
      <c r="K82" s="22">
        <f t="shared" si="18"/>
        <v>0</v>
      </c>
      <c r="L82" s="11"/>
      <c r="M82" s="11"/>
      <c r="N82" s="22">
        <f t="shared" si="19"/>
        <v>0</v>
      </c>
      <c r="O82" s="11"/>
      <c r="P82" s="11"/>
      <c r="Q82" s="22">
        <f t="shared" si="20"/>
        <v>0</v>
      </c>
      <c r="R82" s="11"/>
      <c r="S82" s="11"/>
      <c r="T82" s="22">
        <f t="shared" si="21"/>
        <v>0</v>
      </c>
      <c r="U82" s="11"/>
      <c r="V82" s="11"/>
      <c r="W82" s="22">
        <f t="shared" si="22"/>
        <v>0</v>
      </c>
      <c r="X82" s="11"/>
      <c r="Y82" s="11"/>
      <c r="Z82" s="22">
        <f t="shared" si="23"/>
        <v>0</v>
      </c>
      <c r="AA82" s="11"/>
      <c r="AB82" s="11"/>
      <c r="AC82" s="22">
        <f t="shared" si="24"/>
        <v>0</v>
      </c>
      <c r="AD82" s="11"/>
      <c r="AE82" s="11"/>
      <c r="AF82" s="22">
        <f t="shared" si="25"/>
        <v>0</v>
      </c>
      <c r="AG82" s="11"/>
      <c r="AH82" s="11"/>
      <c r="AI82" s="22">
        <f t="shared" si="26"/>
        <v>0</v>
      </c>
    </row>
    <row r="83" spans="1:35" ht="15" customHeight="1" x14ac:dyDescent="0.35">
      <c r="A83" s="18">
        <v>80</v>
      </c>
      <c r="B83" s="19">
        <v>46204</v>
      </c>
      <c r="C83" s="20" t="s">
        <v>105</v>
      </c>
      <c r="D83" s="18"/>
      <c r="E83" s="21" t="s">
        <v>120</v>
      </c>
      <c r="F83" s="21" t="s">
        <v>121</v>
      </c>
      <c r="G83" s="11"/>
      <c r="H83" s="11"/>
      <c r="I83" s="11"/>
      <c r="J83" s="11"/>
      <c r="K83" s="22">
        <f t="shared" si="18"/>
        <v>0</v>
      </c>
      <c r="L83" s="11"/>
      <c r="M83" s="11"/>
      <c r="N83" s="22">
        <f t="shared" si="19"/>
        <v>0</v>
      </c>
      <c r="O83" s="11"/>
      <c r="P83" s="11"/>
      <c r="Q83" s="22">
        <f t="shared" si="20"/>
        <v>0</v>
      </c>
      <c r="R83" s="11"/>
      <c r="S83" s="11"/>
      <c r="T83" s="22">
        <f t="shared" si="21"/>
        <v>0</v>
      </c>
      <c r="U83" s="11"/>
      <c r="V83" s="11"/>
      <c r="W83" s="22">
        <f t="shared" si="22"/>
        <v>0</v>
      </c>
      <c r="X83" s="11"/>
      <c r="Y83" s="11"/>
      <c r="Z83" s="22">
        <f t="shared" si="23"/>
        <v>0</v>
      </c>
      <c r="AA83" s="11"/>
      <c r="AB83" s="11"/>
      <c r="AC83" s="22">
        <f t="shared" si="24"/>
        <v>0</v>
      </c>
      <c r="AD83" s="11"/>
      <c r="AE83" s="11"/>
      <c r="AF83" s="22">
        <f t="shared" si="25"/>
        <v>0</v>
      </c>
      <c r="AG83" s="11"/>
      <c r="AH83" s="11"/>
      <c r="AI83" s="22">
        <f t="shared" si="26"/>
        <v>0</v>
      </c>
    </row>
    <row r="84" spans="1:35" ht="15" customHeight="1" x14ac:dyDescent="0.35">
      <c r="A84" s="18">
        <v>81</v>
      </c>
      <c r="B84" s="19">
        <v>46204</v>
      </c>
      <c r="C84" s="20" t="s">
        <v>105</v>
      </c>
      <c r="D84" s="18"/>
      <c r="E84" s="21" t="s">
        <v>122</v>
      </c>
      <c r="F84" s="21" t="s">
        <v>123</v>
      </c>
      <c r="G84" s="11"/>
      <c r="H84" s="11"/>
      <c r="I84" s="11"/>
      <c r="J84" s="11"/>
      <c r="K84" s="22">
        <f t="shared" si="18"/>
        <v>0</v>
      </c>
      <c r="L84" s="11"/>
      <c r="M84" s="11"/>
      <c r="N84" s="22">
        <f t="shared" si="19"/>
        <v>0</v>
      </c>
      <c r="O84" s="11"/>
      <c r="P84" s="11"/>
      <c r="Q84" s="22">
        <f t="shared" si="20"/>
        <v>0</v>
      </c>
      <c r="R84" s="11"/>
      <c r="S84" s="11"/>
      <c r="T84" s="22">
        <f t="shared" si="21"/>
        <v>0</v>
      </c>
      <c r="U84" s="11"/>
      <c r="V84" s="11"/>
      <c r="W84" s="22">
        <f t="shared" si="22"/>
        <v>0</v>
      </c>
      <c r="X84" s="11"/>
      <c r="Y84" s="11"/>
      <c r="Z84" s="22">
        <f t="shared" si="23"/>
        <v>0</v>
      </c>
      <c r="AA84" s="11"/>
      <c r="AB84" s="11"/>
      <c r="AC84" s="22">
        <f t="shared" si="24"/>
        <v>0</v>
      </c>
      <c r="AD84" s="11"/>
      <c r="AE84" s="11"/>
      <c r="AF84" s="22">
        <f t="shared" si="25"/>
        <v>0</v>
      </c>
      <c r="AG84" s="11"/>
      <c r="AH84" s="11"/>
      <c r="AI84" s="22">
        <f t="shared" si="26"/>
        <v>0</v>
      </c>
    </row>
    <row r="85" spans="1:35" ht="15" customHeight="1" x14ac:dyDescent="0.35">
      <c r="A85" s="18">
        <v>82</v>
      </c>
      <c r="B85" s="19">
        <v>46204</v>
      </c>
      <c r="C85" s="20" t="s">
        <v>105</v>
      </c>
      <c r="D85" s="18"/>
      <c r="E85" s="21" t="s">
        <v>124</v>
      </c>
      <c r="F85" s="21" t="s">
        <v>125</v>
      </c>
      <c r="G85" s="11"/>
      <c r="H85" s="11"/>
      <c r="I85" s="11"/>
      <c r="J85" s="11"/>
      <c r="K85" s="22">
        <f t="shared" si="18"/>
        <v>0</v>
      </c>
      <c r="L85" s="11"/>
      <c r="M85" s="11"/>
      <c r="N85" s="22">
        <f t="shared" si="19"/>
        <v>0</v>
      </c>
      <c r="O85" s="11"/>
      <c r="P85" s="11"/>
      <c r="Q85" s="22">
        <f t="shared" si="20"/>
        <v>0</v>
      </c>
      <c r="R85" s="11"/>
      <c r="S85" s="11"/>
      <c r="T85" s="22">
        <f t="shared" si="21"/>
        <v>0</v>
      </c>
      <c r="U85" s="11"/>
      <c r="V85" s="11"/>
      <c r="W85" s="22">
        <f t="shared" si="22"/>
        <v>0</v>
      </c>
      <c r="X85" s="11"/>
      <c r="Y85" s="11"/>
      <c r="Z85" s="22">
        <f t="shared" si="23"/>
        <v>0</v>
      </c>
      <c r="AA85" s="11"/>
      <c r="AB85" s="11"/>
      <c r="AC85" s="22">
        <f t="shared" si="24"/>
        <v>0</v>
      </c>
      <c r="AD85" s="11"/>
      <c r="AE85" s="11"/>
      <c r="AF85" s="22">
        <f t="shared" si="25"/>
        <v>0</v>
      </c>
      <c r="AG85" s="11"/>
      <c r="AH85" s="11"/>
      <c r="AI85" s="22">
        <f t="shared" si="26"/>
        <v>0</v>
      </c>
    </row>
    <row r="86" spans="1:35" ht="15" customHeight="1" x14ac:dyDescent="0.35">
      <c r="A86" s="18">
        <v>83</v>
      </c>
      <c r="B86" s="19">
        <v>46205</v>
      </c>
      <c r="C86" s="20" t="s">
        <v>105</v>
      </c>
      <c r="D86" s="18"/>
      <c r="E86" s="21" t="s">
        <v>126</v>
      </c>
      <c r="F86" s="21" t="s">
        <v>127</v>
      </c>
      <c r="G86" s="11"/>
      <c r="H86" s="11"/>
      <c r="I86" s="11"/>
      <c r="J86" s="11"/>
      <c r="K86" s="22">
        <f t="shared" si="18"/>
        <v>0</v>
      </c>
      <c r="L86" s="11"/>
      <c r="M86" s="11"/>
      <c r="N86" s="22">
        <f t="shared" si="19"/>
        <v>0</v>
      </c>
      <c r="O86" s="11"/>
      <c r="P86" s="11"/>
      <c r="Q86" s="22">
        <f t="shared" si="20"/>
        <v>0</v>
      </c>
      <c r="R86" s="11"/>
      <c r="S86" s="11"/>
      <c r="T86" s="22">
        <f t="shared" si="21"/>
        <v>0</v>
      </c>
      <c r="U86" s="11"/>
      <c r="V86" s="11"/>
      <c r="W86" s="22">
        <f t="shared" si="22"/>
        <v>0</v>
      </c>
      <c r="X86" s="11"/>
      <c r="Y86" s="11"/>
      <c r="Z86" s="22">
        <f t="shared" si="23"/>
        <v>0</v>
      </c>
      <c r="AA86" s="11"/>
      <c r="AB86" s="11"/>
      <c r="AC86" s="22">
        <f t="shared" si="24"/>
        <v>0</v>
      </c>
      <c r="AD86" s="11"/>
      <c r="AE86" s="11"/>
      <c r="AF86" s="22">
        <f t="shared" si="25"/>
        <v>0</v>
      </c>
      <c r="AG86" s="11"/>
      <c r="AH86" s="11"/>
      <c r="AI86" s="22">
        <f t="shared" si="26"/>
        <v>0</v>
      </c>
    </row>
    <row r="87" spans="1:35" ht="15" customHeight="1" x14ac:dyDescent="0.35">
      <c r="A87" s="18">
        <v>84</v>
      </c>
      <c r="B87" s="19">
        <v>46205</v>
      </c>
      <c r="C87" s="20" t="s">
        <v>105</v>
      </c>
      <c r="D87" s="18"/>
      <c r="E87" s="21" t="s">
        <v>128</v>
      </c>
      <c r="F87" s="21" t="s">
        <v>129</v>
      </c>
      <c r="G87" s="11"/>
      <c r="H87" s="11"/>
      <c r="I87" s="11"/>
      <c r="J87" s="11"/>
      <c r="K87" s="22">
        <f t="shared" si="18"/>
        <v>0</v>
      </c>
      <c r="L87" s="11"/>
      <c r="M87" s="11"/>
      <c r="N87" s="22">
        <f t="shared" si="19"/>
        <v>0</v>
      </c>
      <c r="O87" s="11"/>
      <c r="P87" s="11"/>
      <c r="Q87" s="22">
        <f t="shared" si="20"/>
        <v>0</v>
      </c>
      <c r="R87" s="11"/>
      <c r="S87" s="11"/>
      <c r="T87" s="22">
        <f t="shared" si="21"/>
        <v>0</v>
      </c>
      <c r="U87" s="11"/>
      <c r="V87" s="11"/>
      <c r="W87" s="22">
        <f t="shared" si="22"/>
        <v>0</v>
      </c>
      <c r="X87" s="11"/>
      <c r="Y87" s="11"/>
      <c r="Z87" s="22">
        <f t="shared" si="23"/>
        <v>0</v>
      </c>
      <c r="AA87" s="11"/>
      <c r="AB87" s="11"/>
      <c r="AC87" s="22">
        <f t="shared" si="24"/>
        <v>0</v>
      </c>
      <c r="AD87" s="11"/>
      <c r="AE87" s="11"/>
      <c r="AF87" s="22">
        <f t="shared" si="25"/>
        <v>0</v>
      </c>
      <c r="AG87" s="11"/>
      <c r="AH87" s="11"/>
      <c r="AI87" s="22">
        <f t="shared" si="26"/>
        <v>0</v>
      </c>
    </row>
    <row r="88" spans="1:35" ht="15" customHeight="1" x14ac:dyDescent="0.35">
      <c r="A88" s="18">
        <v>85</v>
      </c>
      <c r="B88" s="19">
        <v>46205</v>
      </c>
      <c r="C88" s="20" t="s">
        <v>105</v>
      </c>
      <c r="D88" s="18"/>
      <c r="E88" s="21" t="s">
        <v>130</v>
      </c>
      <c r="F88" s="21" t="s">
        <v>131</v>
      </c>
      <c r="G88" s="11"/>
      <c r="H88" s="11"/>
      <c r="I88" s="11"/>
      <c r="J88" s="11"/>
      <c r="K88" s="22">
        <f t="shared" si="18"/>
        <v>0</v>
      </c>
      <c r="L88" s="11"/>
      <c r="M88" s="11"/>
      <c r="N88" s="22">
        <f t="shared" si="19"/>
        <v>0</v>
      </c>
      <c r="O88" s="11"/>
      <c r="P88" s="11"/>
      <c r="Q88" s="22">
        <f t="shared" si="20"/>
        <v>0</v>
      </c>
      <c r="R88" s="11"/>
      <c r="S88" s="11"/>
      <c r="T88" s="22">
        <f t="shared" si="21"/>
        <v>0</v>
      </c>
      <c r="U88" s="11"/>
      <c r="V88" s="11"/>
      <c r="W88" s="22">
        <f t="shared" si="22"/>
        <v>0</v>
      </c>
      <c r="X88" s="11"/>
      <c r="Y88" s="11"/>
      <c r="Z88" s="22">
        <f t="shared" si="23"/>
        <v>0</v>
      </c>
      <c r="AA88" s="11"/>
      <c r="AB88" s="11"/>
      <c r="AC88" s="22">
        <f t="shared" si="24"/>
        <v>0</v>
      </c>
      <c r="AD88" s="11"/>
      <c r="AE88" s="11"/>
      <c r="AF88" s="22">
        <f t="shared" si="25"/>
        <v>0</v>
      </c>
      <c r="AG88" s="11"/>
      <c r="AH88" s="11"/>
      <c r="AI88" s="22">
        <f t="shared" si="26"/>
        <v>0</v>
      </c>
    </row>
    <row r="89" spans="1:35" ht="15" customHeight="1" x14ac:dyDescent="0.35">
      <c r="A89" s="18">
        <v>86</v>
      </c>
      <c r="B89" s="19">
        <v>46206</v>
      </c>
      <c r="C89" s="20" t="s">
        <v>105</v>
      </c>
      <c r="D89" s="18"/>
      <c r="E89" s="21" t="s">
        <v>132</v>
      </c>
      <c r="F89" s="21" t="s">
        <v>133</v>
      </c>
      <c r="G89" s="11"/>
      <c r="H89" s="11"/>
      <c r="I89" s="11"/>
      <c r="J89" s="11"/>
      <c r="K89" s="22">
        <f t="shared" si="18"/>
        <v>0</v>
      </c>
      <c r="L89" s="11"/>
      <c r="M89" s="11"/>
      <c r="N89" s="22">
        <f t="shared" si="19"/>
        <v>0</v>
      </c>
      <c r="O89" s="11"/>
      <c r="P89" s="11"/>
      <c r="Q89" s="22">
        <f t="shared" si="20"/>
        <v>0</v>
      </c>
      <c r="R89" s="11"/>
      <c r="S89" s="11"/>
      <c r="T89" s="22">
        <f t="shared" si="21"/>
        <v>0</v>
      </c>
      <c r="U89" s="11"/>
      <c r="V89" s="11"/>
      <c r="W89" s="22">
        <f t="shared" si="22"/>
        <v>0</v>
      </c>
      <c r="X89" s="11"/>
      <c r="Y89" s="11"/>
      <c r="Z89" s="22">
        <f t="shared" si="23"/>
        <v>0</v>
      </c>
      <c r="AA89" s="11"/>
      <c r="AB89" s="11"/>
      <c r="AC89" s="22">
        <f t="shared" si="24"/>
        <v>0</v>
      </c>
      <c r="AD89" s="11"/>
      <c r="AE89" s="11"/>
      <c r="AF89" s="22">
        <f t="shared" si="25"/>
        <v>0</v>
      </c>
      <c r="AG89" s="11"/>
      <c r="AH89" s="11"/>
      <c r="AI89" s="22">
        <f t="shared" si="26"/>
        <v>0</v>
      </c>
    </row>
    <row r="90" spans="1:35" ht="15" customHeight="1" x14ac:dyDescent="0.35">
      <c r="A90" s="18">
        <v>87</v>
      </c>
      <c r="B90" s="19">
        <v>46206</v>
      </c>
      <c r="C90" s="20" t="s">
        <v>105</v>
      </c>
      <c r="D90" s="18"/>
      <c r="E90" s="21" t="s">
        <v>134</v>
      </c>
      <c r="F90" s="21" t="s">
        <v>135</v>
      </c>
      <c r="G90" s="11"/>
      <c r="H90" s="11"/>
      <c r="I90" s="11"/>
      <c r="J90" s="11"/>
      <c r="K90" s="22">
        <f t="shared" si="18"/>
        <v>0</v>
      </c>
      <c r="L90" s="11"/>
      <c r="M90" s="11"/>
      <c r="N90" s="22">
        <f t="shared" si="19"/>
        <v>0</v>
      </c>
      <c r="O90" s="11"/>
      <c r="P90" s="11"/>
      <c r="Q90" s="22">
        <f t="shared" si="20"/>
        <v>0</v>
      </c>
      <c r="R90" s="11"/>
      <c r="S90" s="11"/>
      <c r="T90" s="22">
        <f t="shared" si="21"/>
        <v>0</v>
      </c>
      <c r="U90" s="11"/>
      <c r="V90" s="11"/>
      <c r="W90" s="22">
        <f t="shared" si="22"/>
        <v>0</v>
      </c>
      <c r="X90" s="11"/>
      <c r="Y90" s="11"/>
      <c r="Z90" s="22">
        <f t="shared" si="23"/>
        <v>0</v>
      </c>
      <c r="AA90" s="11"/>
      <c r="AB90" s="11"/>
      <c r="AC90" s="22">
        <f t="shared" si="24"/>
        <v>0</v>
      </c>
      <c r="AD90" s="11"/>
      <c r="AE90" s="11"/>
      <c r="AF90" s="22">
        <f t="shared" si="25"/>
        <v>0</v>
      </c>
      <c r="AG90" s="11"/>
      <c r="AH90" s="11"/>
      <c r="AI90" s="22">
        <f t="shared" si="26"/>
        <v>0</v>
      </c>
    </row>
    <row r="91" spans="1:35" ht="15" customHeight="1" x14ac:dyDescent="0.35">
      <c r="A91" s="18">
        <v>88</v>
      </c>
      <c r="B91" s="19">
        <v>46206</v>
      </c>
      <c r="C91" s="20" t="s">
        <v>105</v>
      </c>
      <c r="D91" s="18"/>
      <c r="E91" s="21" t="s">
        <v>136</v>
      </c>
      <c r="F91" s="21" t="s">
        <v>131</v>
      </c>
      <c r="G91" s="11"/>
      <c r="H91" s="11"/>
      <c r="I91" s="11"/>
      <c r="J91" s="11"/>
      <c r="K91" s="22">
        <f t="shared" si="18"/>
        <v>0</v>
      </c>
      <c r="L91" s="11"/>
      <c r="M91" s="11"/>
      <c r="N91" s="22">
        <f t="shared" si="19"/>
        <v>0</v>
      </c>
      <c r="O91" s="11"/>
      <c r="P91" s="11"/>
      <c r="Q91" s="22">
        <f t="shared" si="20"/>
        <v>0</v>
      </c>
      <c r="R91" s="11"/>
      <c r="S91" s="11"/>
      <c r="T91" s="22">
        <f t="shared" si="21"/>
        <v>0</v>
      </c>
      <c r="U91" s="11"/>
      <c r="V91" s="11"/>
      <c r="W91" s="22">
        <f t="shared" si="22"/>
        <v>0</v>
      </c>
      <c r="X91" s="11"/>
      <c r="Y91" s="11"/>
      <c r="Z91" s="22">
        <f t="shared" si="23"/>
        <v>0</v>
      </c>
      <c r="AA91" s="11"/>
      <c r="AB91" s="11"/>
      <c r="AC91" s="22">
        <f t="shared" si="24"/>
        <v>0</v>
      </c>
      <c r="AD91" s="11"/>
      <c r="AE91" s="11"/>
      <c r="AF91" s="22">
        <f t="shared" si="25"/>
        <v>0</v>
      </c>
      <c r="AG91" s="11"/>
      <c r="AH91" s="11"/>
      <c r="AI91" s="22">
        <f t="shared" si="26"/>
        <v>0</v>
      </c>
    </row>
    <row r="92" spans="1:35" ht="15" customHeight="1" x14ac:dyDescent="0.35">
      <c r="A92" s="18">
        <v>89</v>
      </c>
      <c r="B92" s="19">
        <v>46207</v>
      </c>
      <c r="C92" s="20" t="s">
        <v>137</v>
      </c>
      <c r="D92" s="18"/>
      <c r="E92" s="21" t="s">
        <v>138</v>
      </c>
      <c r="F92" s="21" t="s">
        <v>138</v>
      </c>
      <c r="G92" s="11"/>
      <c r="H92" s="11"/>
      <c r="I92" s="11"/>
      <c r="J92" s="11"/>
      <c r="K92" s="22">
        <f t="shared" si="18"/>
        <v>0</v>
      </c>
      <c r="L92" s="11"/>
      <c r="M92" s="11"/>
      <c r="N92" s="22">
        <f t="shared" si="19"/>
        <v>0</v>
      </c>
      <c r="O92" s="11"/>
      <c r="P92" s="11"/>
      <c r="Q92" s="22">
        <f t="shared" si="20"/>
        <v>0</v>
      </c>
      <c r="R92" s="11"/>
      <c r="S92" s="11"/>
      <c r="T92" s="22">
        <f t="shared" si="21"/>
        <v>0</v>
      </c>
      <c r="U92" s="11"/>
      <c r="V92" s="11"/>
      <c r="W92" s="22">
        <f t="shared" si="22"/>
        <v>0</v>
      </c>
      <c r="X92" s="11"/>
      <c r="Y92" s="11"/>
      <c r="Z92" s="22">
        <f t="shared" si="23"/>
        <v>0</v>
      </c>
      <c r="AA92" s="11"/>
      <c r="AB92" s="11"/>
      <c r="AC92" s="22">
        <f t="shared" si="24"/>
        <v>0</v>
      </c>
      <c r="AD92" s="11"/>
      <c r="AE92" s="11"/>
      <c r="AF92" s="22">
        <f t="shared" si="25"/>
        <v>0</v>
      </c>
      <c r="AG92" s="11"/>
      <c r="AH92" s="11"/>
      <c r="AI92" s="22">
        <f t="shared" si="26"/>
        <v>0</v>
      </c>
    </row>
    <row r="93" spans="1:35" ht="15" customHeight="1" x14ac:dyDescent="0.35">
      <c r="A93" s="18">
        <v>90</v>
      </c>
      <c r="B93" s="19">
        <v>46207</v>
      </c>
      <c r="C93" s="20" t="s">
        <v>137</v>
      </c>
      <c r="D93" s="18"/>
      <c r="E93" s="21" t="s">
        <v>138</v>
      </c>
      <c r="F93" s="21" t="s">
        <v>138</v>
      </c>
      <c r="G93" s="11"/>
      <c r="H93" s="11"/>
      <c r="I93" s="11"/>
      <c r="J93" s="11"/>
      <c r="K93" s="22">
        <f t="shared" si="18"/>
        <v>0</v>
      </c>
      <c r="L93" s="11"/>
      <c r="M93" s="11"/>
      <c r="N93" s="22">
        <f t="shared" si="19"/>
        <v>0</v>
      </c>
      <c r="O93" s="11"/>
      <c r="P93" s="11"/>
      <c r="Q93" s="22">
        <f t="shared" si="20"/>
        <v>0</v>
      </c>
      <c r="R93" s="11"/>
      <c r="S93" s="11"/>
      <c r="T93" s="22">
        <f t="shared" si="21"/>
        <v>0</v>
      </c>
      <c r="U93" s="11"/>
      <c r="V93" s="11"/>
      <c r="W93" s="22">
        <f t="shared" si="22"/>
        <v>0</v>
      </c>
      <c r="X93" s="11"/>
      <c r="Y93" s="11"/>
      <c r="Z93" s="22">
        <f t="shared" si="23"/>
        <v>0</v>
      </c>
      <c r="AA93" s="11"/>
      <c r="AB93" s="11"/>
      <c r="AC93" s="22">
        <f t="shared" si="24"/>
        <v>0</v>
      </c>
      <c r="AD93" s="11"/>
      <c r="AE93" s="11"/>
      <c r="AF93" s="22">
        <f t="shared" si="25"/>
        <v>0</v>
      </c>
      <c r="AG93" s="11"/>
      <c r="AH93" s="11"/>
      <c r="AI93" s="22">
        <f t="shared" si="26"/>
        <v>0</v>
      </c>
    </row>
    <row r="94" spans="1:35" ht="15" customHeight="1" x14ac:dyDescent="0.35">
      <c r="A94" s="18">
        <v>91</v>
      </c>
      <c r="B94" s="19">
        <v>46208</v>
      </c>
      <c r="C94" s="20" t="s">
        <v>137</v>
      </c>
      <c r="D94" s="18"/>
      <c r="E94" s="21" t="s">
        <v>138</v>
      </c>
      <c r="F94" s="21" t="s">
        <v>138</v>
      </c>
      <c r="G94" s="11"/>
      <c r="H94" s="11"/>
      <c r="I94" s="11"/>
      <c r="J94" s="11"/>
      <c r="K94" s="22">
        <f t="shared" si="18"/>
        <v>0</v>
      </c>
      <c r="L94" s="11"/>
      <c r="M94" s="11"/>
      <c r="N94" s="22">
        <f t="shared" si="19"/>
        <v>0</v>
      </c>
      <c r="O94" s="11"/>
      <c r="P94" s="11"/>
      <c r="Q94" s="22">
        <f t="shared" si="20"/>
        <v>0</v>
      </c>
      <c r="R94" s="11"/>
      <c r="S94" s="11"/>
      <c r="T94" s="22">
        <f t="shared" si="21"/>
        <v>0</v>
      </c>
      <c r="U94" s="11"/>
      <c r="V94" s="11"/>
      <c r="W94" s="22">
        <f t="shared" si="22"/>
        <v>0</v>
      </c>
      <c r="X94" s="11"/>
      <c r="Y94" s="11"/>
      <c r="Z94" s="22">
        <f t="shared" si="23"/>
        <v>0</v>
      </c>
      <c r="AA94" s="11"/>
      <c r="AB94" s="11"/>
      <c r="AC94" s="22">
        <f t="shared" si="24"/>
        <v>0</v>
      </c>
      <c r="AD94" s="11"/>
      <c r="AE94" s="11"/>
      <c r="AF94" s="22">
        <f t="shared" si="25"/>
        <v>0</v>
      </c>
      <c r="AG94" s="11"/>
      <c r="AH94" s="11"/>
      <c r="AI94" s="22">
        <f t="shared" si="26"/>
        <v>0</v>
      </c>
    </row>
    <row r="95" spans="1:35" ht="15" customHeight="1" x14ac:dyDescent="0.35">
      <c r="A95" s="18">
        <v>92</v>
      </c>
      <c r="B95" s="19">
        <v>46208</v>
      </c>
      <c r="C95" s="20" t="s">
        <v>137</v>
      </c>
      <c r="D95" s="18"/>
      <c r="E95" s="21" t="s">
        <v>138</v>
      </c>
      <c r="F95" s="21" t="s">
        <v>138</v>
      </c>
      <c r="G95" s="11"/>
      <c r="H95" s="11"/>
      <c r="I95" s="11"/>
      <c r="J95" s="11"/>
      <c r="K95" s="22">
        <f t="shared" si="18"/>
        <v>0</v>
      </c>
      <c r="L95" s="11"/>
      <c r="M95" s="11"/>
      <c r="N95" s="22">
        <f t="shared" si="19"/>
        <v>0</v>
      </c>
      <c r="O95" s="11"/>
      <c r="P95" s="11"/>
      <c r="Q95" s="22">
        <f t="shared" si="20"/>
        <v>0</v>
      </c>
      <c r="R95" s="11"/>
      <c r="S95" s="11"/>
      <c r="T95" s="22">
        <f t="shared" si="21"/>
        <v>0</v>
      </c>
      <c r="U95" s="11"/>
      <c r="V95" s="11"/>
      <c r="W95" s="22">
        <f t="shared" si="22"/>
        <v>0</v>
      </c>
      <c r="X95" s="11"/>
      <c r="Y95" s="11"/>
      <c r="Z95" s="22">
        <f t="shared" si="23"/>
        <v>0</v>
      </c>
      <c r="AA95" s="11"/>
      <c r="AB95" s="11"/>
      <c r="AC95" s="22">
        <f t="shared" si="24"/>
        <v>0</v>
      </c>
      <c r="AD95" s="11"/>
      <c r="AE95" s="11"/>
      <c r="AF95" s="22">
        <f t="shared" si="25"/>
        <v>0</v>
      </c>
      <c r="AG95" s="11"/>
      <c r="AH95" s="11"/>
      <c r="AI95" s="22">
        <f t="shared" si="26"/>
        <v>0</v>
      </c>
    </row>
    <row r="96" spans="1:35" ht="15" customHeight="1" x14ac:dyDescent="0.35">
      <c r="A96" s="18">
        <v>93</v>
      </c>
      <c r="B96" s="19">
        <v>46209</v>
      </c>
      <c r="C96" s="20" t="s">
        <v>137</v>
      </c>
      <c r="D96" s="18"/>
      <c r="E96" s="21" t="s">
        <v>138</v>
      </c>
      <c r="F96" s="21" t="s">
        <v>138</v>
      </c>
      <c r="G96" s="11"/>
      <c r="H96" s="11"/>
      <c r="I96" s="11"/>
      <c r="J96" s="11"/>
      <c r="K96" s="22">
        <f t="shared" si="18"/>
        <v>0</v>
      </c>
      <c r="L96" s="11"/>
      <c r="M96" s="11"/>
      <c r="N96" s="22">
        <f t="shared" si="19"/>
        <v>0</v>
      </c>
      <c r="O96" s="11"/>
      <c r="P96" s="11"/>
      <c r="Q96" s="22">
        <f t="shared" si="20"/>
        <v>0</v>
      </c>
      <c r="R96" s="11"/>
      <c r="S96" s="11"/>
      <c r="T96" s="22">
        <f t="shared" si="21"/>
        <v>0</v>
      </c>
      <c r="U96" s="11"/>
      <c r="V96" s="11"/>
      <c r="W96" s="22">
        <f t="shared" si="22"/>
        <v>0</v>
      </c>
      <c r="X96" s="11"/>
      <c r="Y96" s="11"/>
      <c r="Z96" s="22">
        <f t="shared" si="23"/>
        <v>0</v>
      </c>
      <c r="AA96" s="11"/>
      <c r="AB96" s="11"/>
      <c r="AC96" s="22">
        <f t="shared" si="24"/>
        <v>0</v>
      </c>
      <c r="AD96" s="11"/>
      <c r="AE96" s="11"/>
      <c r="AF96" s="22">
        <f t="shared" si="25"/>
        <v>0</v>
      </c>
      <c r="AG96" s="11"/>
      <c r="AH96" s="11"/>
      <c r="AI96" s="22">
        <f t="shared" si="26"/>
        <v>0</v>
      </c>
    </row>
    <row r="97" spans="1:35" ht="15" customHeight="1" x14ac:dyDescent="0.35">
      <c r="A97" s="18">
        <v>94</v>
      </c>
      <c r="B97" s="19">
        <v>46209</v>
      </c>
      <c r="C97" s="20" t="s">
        <v>137</v>
      </c>
      <c r="D97" s="18"/>
      <c r="E97" s="21" t="s">
        <v>138</v>
      </c>
      <c r="F97" s="21" t="s">
        <v>138</v>
      </c>
      <c r="G97" s="11"/>
      <c r="H97" s="11"/>
      <c r="I97" s="11"/>
      <c r="J97" s="11"/>
      <c r="K97" s="22">
        <f t="shared" si="18"/>
        <v>0</v>
      </c>
      <c r="L97" s="11"/>
      <c r="M97" s="11"/>
      <c r="N97" s="22">
        <f t="shared" si="19"/>
        <v>0</v>
      </c>
      <c r="O97" s="11"/>
      <c r="P97" s="11"/>
      <c r="Q97" s="22">
        <f t="shared" si="20"/>
        <v>0</v>
      </c>
      <c r="R97" s="11"/>
      <c r="S97" s="11"/>
      <c r="T97" s="22">
        <f t="shared" si="21"/>
        <v>0</v>
      </c>
      <c r="U97" s="11"/>
      <c r="V97" s="11"/>
      <c r="W97" s="22">
        <f t="shared" si="22"/>
        <v>0</v>
      </c>
      <c r="X97" s="11"/>
      <c r="Y97" s="11"/>
      <c r="Z97" s="22">
        <f t="shared" si="23"/>
        <v>0</v>
      </c>
      <c r="AA97" s="11"/>
      <c r="AB97" s="11"/>
      <c r="AC97" s="22">
        <f t="shared" si="24"/>
        <v>0</v>
      </c>
      <c r="AD97" s="11"/>
      <c r="AE97" s="11"/>
      <c r="AF97" s="22">
        <f t="shared" si="25"/>
        <v>0</v>
      </c>
      <c r="AG97" s="11"/>
      <c r="AH97" s="11"/>
      <c r="AI97" s="22">
        <f t="shared" si="26"/>
        <v>0</v>
      </c>
    </row>
    <row r="98" spans="1:35" ht="15" customHeight="1" x14ac:dyDescent="0.35">
      <c r="A98" s="18">
        <v>95</v>
      </c>
      <c r="B98" s="19">
        <v>46210</v>
      </c>
      <c r="C98" s="20" t="s">
        <v>137</v>
      </c>
      <c r="D98" s="18"/>
      <c r="E98" s="21" t="s">
        <v>138</v>
      </c>
      <c r="F98" s="21" t="s">
        <v>138</v>
      </c>
      <c r="G98" s="11"/>
      <c r="H98" s="11"/>
      <c r="I98" s="11"/>
      <c r="J98" s="11"/>
      <c r="K98" s="22">
        <f t="shared" si="18"/>
        <v>0</v>
      </c>
      <c r="L98" s="11"/>
      <c r="M98" s="11"/>
      <c r="N98" s="22">
        <f t="shared" si="19"/>
        <v>0</v>
      </c>
      <c r="O98" s="11"/>
      <c r="P98" s="11"/>
      <c r="Q98" s="22">
        <f t="shared" si="20"/>
        <v>0</v>
      </c>
      <c r="R98" s="11"/>
      <c r="S98" s="11"/>
      <c r="T98" s="22">
        <f t="shared" si="21"/>
        <v>0</v>
      </c>
      <c r="U98" s="11"/>
      <c r="V98" s="11"/>
      <c r="W98" s="22">
        <f t="shared" si="22"/>
        <v>0</v>
      </c>
      <c r="X98" s="11"/>
      <c r="Y98" s="11"/>
      <c r="Z98" s="22">
        <f t="shared" si="23"/>
        <v>0</v>
      </c>
      <c r="AA98" s="11"/>
      <c r="AB98" s="11"/>
      <c r="AC98" s="22">
        <f t="shared" si="24"/>
        <v>0</v>
      </c>
      <c r="AD98" s="11"/>
      <c r="AE98" s="11"/>
      <c r="AF98" s="22">
        <f t="shared" si="25"/>
        <v>0</v>
      </c>
      <c r="AG98" s="11"/>
      <c r="AH98" s="11"/>
      <c r="AI98" s="22">
        <f t="shared" si="26"/>
        <v>0</v>
      </c>
    </row>
    <row r="99" spans="1:35" ht="15" customHeight="1" x14ac:dyDescent="0.35">
      <c r="A99" s="18">
        <v>96</v>
      </c>
      <c r="B99" s="19">
        <v>46210</v>
      </c>
      <c r="C99" s="20" t="s">
        <v>137</v>
      </c>
      <c r="D99" s="18"/>
      <c r="E99" s="21" t="s">
        <v>138</v>
      </c>
      <c r="F99" s="21" t="s">
        <v>138</v>
      </c>
      <c r="G99" s="11"/>
      <c r="H99" s="11"/>
      <c r="I99" s="11"/>
      <c r="J99" s="11"/>
      <c r="K99" s="22">
        <f t="shared" si="18"/>
        <v>0</v>
      </c>
      <c r="L99" s="11"/>
      <c r="M99" s="11"/>
      <c r="N99" s="22">
        <f t="shared" si="19"/>
        <v>0</v>
      </c>
      <c r="O99" s="11"/>
      <c r="P99" s="11"/>
      <c r="Q99" s="22">
        <f t="shared" si="20"/>
        <v>0</v>
      </c>
      <c r="R99" s="11"/>
      <c r="S99" s="11"/>
      <c r="T99" s="22">
        <f t="shared" si="21"/>
        <v>0</v>
      </c>
      <c r="U99" s="11"/>
      <c r="V99" s="11"/>
      <c r="W99" s="22">
        <f t="shared" si="22"/>
        <v>0</v>
      </c>
      <c r="X99" s="11"/>
      <c r="Y99" s="11"/>
      <c r="Z99" s="22">
        <f t="shared" si="23"/>
        <v>0</v>
      </c>
      <c r="AA99" s="11"/>
      <c r="AB99" s="11"/>
      <c r="AC99" s="22">
        <f t="shared" si="24"/>
        <v>0</v>
      </c>
      <c r="AD99" s="11"/>
      <c r="AE99" s="11"/>
      <c r="AF99" s="22">
        <f t="shared" si="25"/>
        <v>0</v>
      </c>
      <c r="AG99" s="11"/>
      <c r="AH99" s="11"/>
      <c r="AI99" s="22">
        <f t="shared" si="26"/>
        <v>0</v>
      </c>
    </row>
    <row r="100" spans="1:35" ht="15" customHeight="1" x14ac:dyDescent="0.35">
      <c r="A100" s="18">
        <v>97</v>
      </c>
      <c r="B100" s="19">
        <v>46212</v>
      </c>
      <c r="C100" s="20" t="s">
        <v>139</v>
      </c>
      <c r="D100" s="18"/>
      <c r="E100" s="21" t="s">
        <v>138</v>
      </c>
      <c r="F100" s="21" t="s">
        <v>138</v>
      </c>
      <c r="G100" s="11"/>
      <c r="H100" s="11"/>
      <c r="I100" s="11"/>
      <c r="J100" s="11"/>
      <c r="K100" s="22">
        <f t="shared" ref="K100:K131" si="27">IF(OR(I100="",J100="",$G100="",$H100=""),0,IF(AND(I100=$G100,J100=$H100),8,IF(SIGN(I100-J100)=SIGN($G100-$H100),3,0)))</f>
        <v>0</v>
      </c>
      <c r="L100" s="11"/>
      <c r="M100" s="11"/>
      <c r="N100" s="22">
        <f t="shared" ref="N100:N131" si="28">IF(OR(L100="",M100="",$G100="",$H100=""),0,IF(AND(L100=$G100,M100=$H100),8,IF(SIGN(L100-M100)=SIGN($G100-$H100),3,0)))</f>
        <v>0</v>
      </c>
      <c r="O100" s="11"/>
      <c r="P100" s="11"/>
      <c r="Q100" s="22">
        <f t="shared" ref="Q100:Q131" si="29">IF(OR(O100="",P100="",$G100="",$H100=""),0,IF(AND(O100=$G100,P100=$H100),8,IF(SIGN(O100-P100)=SIGN($G100-$H100),3,0)))</f>
        <v>0</v>
      </c>
      <c r="R100" s="11"/>
      <c r="S100" s="11"/>
      <c r="T100" s="22">
        <f t="shared" ref="T100:T131" si="30">IF(OR(R100="",S100="",$G100="",$H100=""),0,IF(AND(R100=$G100,S100=$H100),8,IF(SIGN(R100-S100)=SIGN($G100-$H100),3,0)))</f>
        <v>0</v>
      </c>
      <c r="U100" s="11"/>
      <c r="V100" s="11"/>
      <c r="W100" s="22">
        <f t="shared" ref="W100:W131" si="31">IF(OR(U100="",V100="",$G100="",$H100=""),0,IF(AND(U100=$G100,V100=$H100),8,IF(SIGN(U100-V100)=SIGN($G100-$H100),3,0)))</f>
        <v>0</v>
      </c>
      <c r="X100" s="11"/>
      <c r="Y100" s="11"/>
      <c r="Z100" s="22">
        <f t="shared" ref="Z100:Z131" si="32">IF(OR(X100="",Y100="",$G100="",$H100=""),0,IF(AND(X100=$G100,Y100=$H100),8,IF(SIGN(X100-Y100)=SIGN($G100-$H100),3,0)))</f>
        <v>0</v>
      </c>
      <c r="AA100" s="11"/>
      <c r="AB100" s="11"/>
      <c r="AC100" s="22">
        <f t="shared" ref="AC100:AC131" si="33">IF(OR(AA100="",AB100="",$G100="",$H100=""),0,IF(AND(AA100=$G100,AB100=$H100),8,IF(SIGN(AA100-AB100)=SIGN($G100-$H100),3,0)))</f>
        <v>0</v>
      </c>
      <c r="AD100" s="11"/>
      <c r="AE100" s="11"/>
      <c r="AF100" s="22">
        <f t="shared" ref="AF100:AF131" si="34">IF(OR(AD100="",AE100="",$G100="",$H100=""),0,IF(AND(AD100=$G100,AE100=$H100),8,IF(SIGN(AD100-AE100)=SIGN($G100-$H100),3,0)))</f>
        <v>0</v>
      </c>
      <c r="AG100" s="11"/>
      <c r="AH100" s="11"/>
      <c r="AI100" s="22">
        <f t="shared" ref="AI100:AI131" si="35">IF(OR(AG100="",AH100="",$G100="",$H100=""),0,IF(AND(AG100=$G100,AH100=$H100),8,IF(SIGN(AG100-AH100)=SIGN($G100-$H100),3,0)))</f>
        <v>0</v>
      </c>
    </row>
    <row r="101" spans="1:35" ht="15" customHeight="1" x14ac:dyDescent="0.35">
      <c r="A101" s="18">
        <v>98</v>
      </c>
      <c r="B101" s="19">
        <v>46213</v>
      </c>
      <c r="C101" s="20" t="s">
        <v>139</v>
      </c>
      <c r="D101" s="18"/>
      <c r="E101" s="21" t="s">
        <v>138</v>
      </c>
      <c r="F101" s="21" t="s">
        <v>138</v>
      </c>
      <c r="G101" s="11"/>
      <c r="H101" s="11"/>
      <c r="I101" s="11"/>
      <c r="J101" s="11"/>
      <c r="K101" s="22">
        <f t="shared" si="27"/>
        <v>0</v>
      </c>
      <c r="L101" s="11"/>
      <c r="M101" s="11"/>
      <c r="N101" s="22">
        <f t="shared" si="28"/>
        <v>0</v>
      </c>
      <c r="O101" s="11"/>
      <c r="P101" s="11"/>
      <c r="Q101" s="22">
        <f t="shared" si="29"/>
        <v>0</v>
      </c>
      <c r="R101" s="11"/>
      <c r="S101" s="11"/>
      <c r="T101" s="22">
        <f t="shared" si="30"/>
        <v>0</v>
      </c>
      <c r="U101" s="11"/>
      <c r="V101" s="11"/>
      <c r="W101" s="22">
        <f t="shared" si="31"/>
        <v>0</v>
      </c>
      <c r="X101" s="11"/>
      <c r="Y101" s="11"/>
      <c r="Z101" s="22">
        <f t="shared" si="32"/>
        <v>0</v>
      </c>
      <c r="AA101" s="11"/>
      <c r="AB101" s="11"/>
      <c r="AC101" s="22">
        <f t="shared" si="33"/>
        <v>0</v>
      </c>
      <c r="AD101" s="11"/>
      <c r="AE101" s="11"/>
      <c r="AF101" s="22">
        <f t="shared" si="34"/>
        <v>0</v>
      </c>
      <c r="AG101" s="11"/>
      <c r="AH101" s="11"/>
      <c r="AI101" s="22">
        <f t="shared" si="35"/>
        <v>0</v>
      </c>
    </row>
    <row r="102" spans="1:35" ht="15" customHeight="1" x14ac:dyDescent="0.35">
      <c r="A102" s="18">
        <v>99</v>
      </c>
      <c r="B102" s="19">
        <v>46214</v>
      </c>
      <c r="C102" s="20" t="s">
        <v>139</v>
      </c>
      <c r="D102" s="18"/>
      <c r="E102" s="21" t="s">
        <v>138</v>
      </c>
      <c r="F102" s="21" t="s">
        <v>138</v>
      </c>
      <c r="G102" s="11"/>
      <c r="H102" s="11"/>
      <c r="I102" s="11"/>
      <c r="J102" s="11"/>
      <c r="K102" s="22">
        <f t="shared" si="27"/>
        <v>0</v>
      </c>
      <c r="L102" s="11"/>
      <c r="M102" s="11"/>
      <c r="N102" s="22">
        <f t="shared" si="28"/>
        <v>0</v>
      </c>
      <c r="O102" s="11"/>
      <c r="P102" s="11"/>
      <c r="Q102" s="22">
        <f t="shared" si="29"/>
        <v>0</v>
      </c>
      <c r="R102" s="11"/>
      <c r="S102" s="11"/>
      <c r="T102" s="22">
        <f t="shared" si="30"/>
        <v>0</v>
      </c>
      <c r="U102" s="11"/>
      <c r="V102" s="11"/>
      <c r="W102" s="22">
        <f t="shared" si="31"/>
        <v>0</v>
      </c>
      <c r="X102" s="11"/>
      <c r="Y102" s="11"/>
      <c r="Z102" s="22">
        <f t="shared" si="32"/>
        <v>0</v>
      </c>
      <c r="AA102" s="11"/>
      <c r="AB102" s="11"/>
      <c r="AC102" s="22">
        <f t="shared" si="33"/>
        <v>0</v>
      </c>
      <c r="AD102" s="11"/>
      <c r="AE102" s="11"/>
      <c r="AF102" s="22">
        <f t="shared" si="34"/>
        <v>0</v>
      </c>
      <c r="AG102" s="11"/>
      <c r="AH102" s="11"/>
      <c r="AI102" s="22">
        <f t="shared" si="35"/>
        <v>0</v>
      </c>
    </row>
    <row r="103" spans="1:35" ht="15" customHeight="1" x14ac:dyDescent="0.35">
      <c r="A103" s="18">
        <v>100</v>
      </c>
      <c r="B103" s="19">
        <v>46214</v>
      </c>
      <c r="C103" s="20" t="s">
        <v>139</v>
      </c>
      <c r="D103" s="18"/>
      <c r="E103" s="21" t="s">
        <v>138</v>
      </c>
      <c r="F103" s="21" t="s">
        <v>138</v>
      </c>
      <c r="G103" s="11"/>
      <c r="H103" s="11"/>
      <c r="I103" s="11"/>
      <c r="J103" s="11"/>
      <c r="K103" s="22">
        <f t="shared" si="27"/>
        <v>0</v>
      </c>
      <c r="L103" s="11"/>
      <c r="M103" s="11"/>
      <c r="N103" s="22">
        <f t="shared" si="28"/>
        <v>0</v>
      </c>
      <c r="O103" s="11"/>
      <c r="P103" s="11"/>
      <c r="Q103" s="22">
        <f t="shared" si="29"/>
        <v>0</v>
      </c>
      <c r="R103" s="11"/>
      <c r="S103" s="11"/>
      <c r="T103" s="22">
        <f t="shared" si="30"/>
        <v>0</v>
      </c>
      <c r="U103" s="11"/>
      <c r="V103" s="11"/>
      <c r="W103" s="22">
        <f t="shared" si="31"/>
        <v>0</v>
      </c>
      <c r="X103" s="11"/>
      <c r="Y103" s="11"/>
      <c r="Z103" s="22">
        <f t="shared" si="32"/>
        <v>0</v>
      </c>
      <c r="AA103" s="11"/>
      <c r="AB103" s="11"/>
      <c r="AC103" s="22">
        <f t="shared" si="33"/>
        <v>0</v>
      </c>
      <c r="AD103" s="11"/>
      <c r="AE103" s="11"/>
      <c r="AF103" s="22">
        <f t="shared" si="34"/>
        <v>0</v>
      </c>
      <c r="AG103" s="11"/>
      <c r="AH103" s="11"/>
      <c r="AI103" s="22">
        <f t="shared" si="35"/>
        <v>0</v>
      </c>
    </row>
    <row r="104" spans="1:35" ht="15" customHeight="1" x14ac:dyDescent="0.35">
      <c r="A104" s="18">
        <v>101</v>
      </c>
      <c r="B104" s="19">
        <v>46217</v>
      </c>
      <c r="C104" s="20" t="s">
        <v>140</v>
      </c>
      <c r="D104" s="18"/>
      <c r="E104" s="21" t="s">
        <v>138</v>
      </c>
      <c r="F104" s="21" t="s">
        <v>138</v>
      </c>
      <c r="G104" s="11"/>
      <c r="H104" s="11"/>
      <c r="I104" s="11"/>
      <c r="J104" s="11"/>
      <c r="K104" s="22">
        <f t="shared" si="27"/>
        <v>0</v>
      </c>
      <c r="L104" s="11"/>
      <c r="M104" s="11"/>
      <c r="N104" s="22">
        <f t="shared" si="28"/>
        <v>0</v>
      </c>
      <c r="O104" s="11"/>
      <c r="P104" s="11"/>
      <c r="Q104" s="22">
        <f t="shared" si="29"/>
        <v>0</v>
      </c>
      <c r="R104" s="11"/>
      <c r="S104" s="11"/>
      <c r="T104" s="22">
        <f t="shared" si="30"/>
        <v>0</v>
      </c>
      <c r="U104" s="11"/>
      <c r="V104" s="11"/>
      <c r="W104" s="22">
        <f t="shared" si="31"/>
        <v>0</v>
      </c>
      <c r="X104" s="11"/>
      <c r="Y104" s="11"/>
      <c r="Z104" s="22">
        <f t="shared" si="32"/>
        <v>0</v>
      </c>
      <c r="AA104" s="11"/>
      <c r="AB104" s="11"/>
      <c r="AC104" s="22">
        <f t="shared" si="33"/>
        <v>0</v>
      </c>
      <c r="AD104" s="11"/>
      <c r="AE104" s="11"/>
      <c r="AF104" s="22">
        <f t="shared" si="34"/>
        <v>0</v>
      </c>
      <c r="AG104" s="11"/>
      <c r="AH104" s="11"/>
      <c r="AI104" s="22">
        <f t="shared" si="35"/>
        <v>0</v>
      </c>
    </row>
    <row r="105" spans="1:35" ht="15" customHeight="1" x14ac:dyDescent="0.35">
      <c r="A105" s="18">
        <v>102</v>
      </c>
      <c r="B105" s="19">
        <v>46218</v>
      </c>
      <c r="C105" s="20" t="s">
        <v>140</v>
      </c>
      <c r="D105" s="18"/>
      <c r="E105" s="21" t="s">
        <v>138</v>
      </c>
      <c r="F105" s="21" t="s">
        <v>138</v>
      </c>
      <c r="G105" s="11"/>
      <c r="H105" s="11"/>
      <c r="I105" s="11"/>
      <c r="J105" s="11"/>
      <c r="K105" s="22">
        <f t="shared" si="27"/>
        <v>0</v>
      </c>
      <c r="L105" s="11"/>
      <c r="M105" s="11"/>
      <c r="N105" s="22">
        <f t="shared" si="28"/>
        <v>0</v>
      </c>
      <c r="O105" s="11"/>
      <c r="P105" s="11"/>
      <c r="Q105" s="22">
        <f t="shared" si="29"/>
        <v>0</v>
      </c>
      <c r="R105" s="11"/>
      <c r="S105" s="11"/>
      <c r="T105" s="22">
        <f t="shared" si="30"/>
        <v>0</v>
      </c>
      <c r="U105" s="11"/>
      <c r="V105" s="11"/>
      <c r="W105" s="22">
        <f t="shared" si="31"/>
        <v>0</v>
      </c>
      <c r="X105" s="11"/>
      <c r="Y105" s="11"/>
      <c r="Z105" s="22">
        <f t="shared" si="32"/>
        <v>0</v>
      </c>
      <c r="AA105" s="11"/>
      <c r="AB105" s="11"/>
      <c r="AC105" s="22">
        <f t="shared" si="33"/>
        <v>0</v>
      </c>
      <c r="AD105" s="11"/>
      <c r="AE105" s="11"/>
      <c r="AF105" s="22">
        <f t="shared" si="34"/>
        <v>0</v>
      </c>
      <c r="AG105" s="11"/>
      <c r="AH105" s="11"/>
      <c r="AI105" s="22">
        <f t="shared" si="35"/>
        <v>0</v>
      </c>
    </row>
    <row r="106" spans="1:35" ht="15" customHeight="1" x14ac:dyDescent="0.35">
      <c r="A106" s="18">
        <v>103</v>
      </c>
      <c r="B106" s="19">
        <v>46221</v>
      </c>
      <c r="C106" s="20" t="s">
        <v>141</v>
      </c>
      <c r="D106" s="18"/>
      <c r="E106" s="21" t="s">
        <v>142</v>
      </c>
      <c r="F106" s="21" t="s">
        <v>143</v>
      </c>
      <c r="G106" s="11"/>
      <c r="H106" s="11"/>
      <c r="I106" s="11"/>
      <c r="J106" s="11"/>
      <c r="K106" s="22">
        <f t="shared" si="27"/>
        <v>0</v>
      </c>
      <c r="L106" s="11"/>
      <c r="M106" s="11"/>
      <c r="N106" s="22">
        <f t="shared" si="28"/>
        <v>0</v>
      </c>
      <c r="O106" s="11"/>
      <c r="P106" s="11"/>
      <c r="Q106" s="22">
        <f t="shared" si="29"/>
        <v>0</v>
      </c>
      <c r="R106" s="11"/>
      <c r="S106" s="11"/>
      <c r="T106" s="22">
        <f t="shared" si="30"/>
        <v>0</v>
      </c>
      <c r="U106" s="11"/>
      <c r="V106" s="11"/>
      <c r="W106" s="22">
        <f t="shared" si="31"/>
        <v>0</v>
      </c>
      <c r="X106" s="11"/>
      <c r="Y106" s="11"/>
      <c r="Z106" s="22">
        <f t="shared" si="32"/>
        <v>0</v>
      </c>
      <c r="AA106" s="11"/>
      <c r="AB106" s="11"/>
      <c r="AC106" s="22">
        <f t="shared" si="33"/>
        <v>0</v>
      </c>
      <c r="AD106" s="11"/>
      <c r="AE106" s="11"/>
      <c r="AF106" s="22">
        <f t="shared" si="34"/>
        <v>0</v>
      </c>
      <c r="AG106" s="11"/>
      <c r="AH106" s="11"/>
      <c r="AI106" s="22">
        <f t="shared" si="35"/>
        <v>0</v>
      </c>
    </row>
    <row r="107" spans="1:35" ht="15" customHeight="1" x14ac:dyDescent="0.35">
      <c r="A107" s="18">
        <v>104</v>
      </c>
      <c r="B107" s="19">
        <v>46222</v>
      </c>
      <c r="C107" s="20" t="s">
        <v>144</v>
      </c>
      <c r="D107" s="18"/>
      <c r="E107" s="21" t="s">
        <v>145</v>
      </c>
      <c r="F107" s="21" t="s">
        <v>146</v>
      </c>
      <c r="G107" s="11"/>
      <c r="H107" s="11"/>
      <c r="I107" s="11"/>
      <c r="J107" s="11"/>
      <c r="K107" s="22">
        <f t="shared" si="27"/>
        <v>0</v>
      </c>
      <c r="L107" s="11"/>
      <c r="M107" s="11"/>
      <c r="N107" s="22">
        <f t="shared" si="28"/>
        <v>0</v>
      </c>
      <c r="O107" s="11"/>
      <c r="P107" s="11"/>
      <c r="Q107" s="22">
        <f t="shared" si="29"/>
        <v>0</v>
      </c>
      <c r="R107" s="11"/>
      <c r="S107" s="11"/>
      <c r="T107" s="22">
        <f t="shared" si="30"/>
        <v>0</v>
      </c>
      <c r="U107" s="11"/>
      <c r="V107" s="11"/>
      <c r="W107" s="22">
        <f t="shared" si="31"/>
        <v>0</v>
      </c>
      <c r="X107" s="11"/>
      <c r="Y107" s="11"/>
      <c r="Z107" s="22">
        <f t="shared" si="32"/>
        <v>0</v>
      </c>
      <c r="AA107" s="11"/>
      <c r="AB107" s="11"/>
      <c r="AC107" s="22">
        <f t="shared" si="33"/>
        <v>0</v>
      </c>
      <c r="AD107" s="11"/>
      <c r="AE107" s="11"/>
      <c r="AF107" s="22">
        <f t="shared" si="34"/>
        <v>0</v>
      </c>
      <c r="AG107" s="11"/>
      <c r="AH107" s="11"/>
      <c r="AI107" s="22">
        <f t="shared" si="35"/>
        <v>0</v>
      </c>
    </row>
  </sheetData>
  <mergeCells count="11">
    <mergeCell ref="A1:AF1"/>
    <mergeCell ref="A2:H2"/>
    <mergeCell ref="L2:N2"/>
    <mergeCell ref="O2:Q2"/>
    <mergeCell ref="U2:W2"/>
    <mergeCell ref="X2:Z2"/>
    <mergeCell ref="AG2:AI2"/>
    <mergeCell ref="AA2:AC2"/>
    <mergeCell ref="I2:K2"/>
    <mergeCell ref="AD2:AF2"/>
    <mergeCell ref="R2:T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06"/>
  <sheetViews>
    <sheetView showGridLines="0" zoomScaleNormal="100" workbookViewId="0">
      <pane ySplit="2" topLeftCell="A3" activePane="bottomLeft" state="frozen"/>
      <selection pane="bottomLeft"/>
    </sheetView>
  </sheetViews>
  <sheetFormatPr defaultColWidth="8.6328125" defaultRowHeight="14.5" x14ac:dyDescent="0.35"/>
  <cols>
    <col min="1" max="1" width="7" customWidth="1"/>
    <col min="2" max="2" width="12" customWidth="1"/>
    <col min="3" max="3" width="11" customWidth="1"/>
    <col min="4" max="4" width="7" customWidth="1"/>
    <col min="5" max="6" width="19" customWidth="1"/>
    <col min="7" max="7" width="22" customWidth="1"/>
    <col min="8" max="8" width="12" customWidth="1"/>
  </cols>
  <sheetData>
    <row r="1" spans="1:8" ht="24" customHeight="1" x14ac:dyDescent="0.35">
      <c r="A1" s="48" t="s">
        <v>147</v>
      </c>
      <c r="B1" s="49"/>
      <c r="C1" s="49"/>
      <c r="D1" s="49"/>
      <c r="E1" s="49"/>
      <c r="F1" s="49"/>
      <c r="G1" s="49"/>
      <c r="H1" s="49"/>
    </row>
    <row r="2" spans="1:8" ht="26.9" customHeight="1" x14ac:dyDescent="0.35">
      <c r="A2" s="4" t="s">
        <v>33</v>
      </c>
      <c r="B2" s="4" t="s">
        <v>34</v>
      </c>
      <c r="C2" s="4" t="s">
        <v>35</v>
      </c>
      <c r="D2" s="4" t="s">
        <v>36</v>
      </c>
      <c r="E2" s="4" t="s">
        <v>37</v>
      </c>
      <c r="F2" s="4" t="s">
        <v>38</v>
      </c>
      <c r="G2" s="4" t="s">
        <v>148</v>
      </c>
      <c r="H2" s="4" t="s">
        <v>149</v>
      </c>
    </row>
    <row r="3" spans="1:8" ht="15" customHeight="1" x14ac:dyDescent="0.35">
      <c r="A3" s="7">
        <v>1</v>
      </c>
      <c r="B3" s="8">
        <v>46184</v>
      </c>
      <c r="C3" s="9" t="s">
        <v>44</v>
      </c>
      <c r="D3" s="7" t="s">
        <v>45</v>
      </c>
      <c r="E3" s="10" t="s">
        <v>46</v>
      </c>
      <c r="F3" s="10" t="s">
        <v>47</v>
      </c>
      <c r="G3" s="23" t="s">
        <v>150</v>
      </c>
      <c r="H3" s="9" t="s">
        <v>151</v>
      </c>
    </row>
    <row r="4" spans="1:8" ht="15" customHeight="1" x14ac:dyDescent="0.35">
      <c r="A4" s="13">
        <v>2</v>
      </c>
      <c r="B4" s="14">
        <v>46184</v>
      </c>
      <c r="C4" s="15" t="s">
        <v>44</v>
      </c>
      <c r="D4" s="13" t="s">
        <v>45</v>
      </c>
      <c r="E4" s="16" t="s">
        <v>48</v>
      </c>
      <c r="F4" s="16" t="s">
        <v>49</v>
      </c>
      <c r="G4" s="24" t="s">
        <v>152</v>
      </c>
      <c r="H4" s="15" t="s">
        <v>153</v>
      </c>
    </row>
    <row r="5" spans="1:8" ht="15" customHeight="1" x14ac:dyDescent="0.35">
      <c r="A5" s="7">
        <v>3</v>
      </c>
      <c r="B5" s="8">
        <v>46185</v>
      </c>
      <c r="C5" s="9" t="s">
        <v>44</v>
      </c>
      <c r="D5" s="7" t="s">
        <v>50</v>
      </c>
      <c r="E5" s="10" t="s">
        <v>51</v>
      </c>
      <c r="F5" s="10" t="s">
        <v>52</v>
      </c>
      <c r="G5" s="23" t="s">
        <v>154</v>
      </c>
      <c r="H5" s="9" t="s">
        <v>151</v>
      </c>
    </row>
    <row r="6" spans="1:8" ht="15" customHeight="1" x14ac:dyDescent="0.35">
      <c r="A6" s="13">
        <v>4</v>
      </c>
      <c r="B6" s="14">
        <v>46185</v>
      </c>
      <c r="C6" s="15" t="s">
        <v>44</v>
      </c>
      <c r="D6" s="13" t="s">
        <v>53</v>
      </c>
      <c r="E6" s="16" t="s">
        <v>54</v>
      </c>
      <c r="F6" s="16" t="s">
        <v>55</v>
      </c>
      <c r="G6" s="24" t="s">
        <v>155</v>
      </c>
      <c r="H6" s="15" t="s">
        <v>156</v>
      </c>
    </row>
    <row r="7" spans="1:8" ht="15" customHeight="1" x14ac:dyDescent="0.35">
      <c r="A7" s="7">
        <v>5</v>
      </c>
      <c r="B7" s="8">
        <v>46186</v>
      </c>
      <c r="C7" s="9" t="s">
        <v>44</v>
      </c>
      <c r="D7" s="7" t="s">
        <v>50</v>
      </c>
      <c r="E7" s="10" t="s">
        <v>56</v>
      </c>
      <c r="F7" s="10" t="s">
        <v>57</v>
      </c>
      <c r="G7" s="23" t="s">
        <v>157</v>
      </c>
      <c r="H7" s="9" t="s">
        <v>151</v>
      </c>
    </row>
    <row r="8" spans="1:8" ht="15" customHeight="1" x14ac:dyDescent="0.35">
      <c r="A8" s="13">
        <v>6</v>
      </c>
      <c r="B8" s="14">
        <v>46186</v>
      </c>
      <c r="C8" s="15" t="s">
        <v>44</v>
      </c>
      <c r="D8" s="13" t="s">
        <v>58</v>
      </c>
      <c r="E8" s="16" t="s">
        <v>59</v>
      </c>
      <c r="F8" s="16" t="s">
        <v>60</v>
      </c>
      <c r="G8" s="24" t="s">
        <v>158</v>
      </c>
      <c r="H8" s="15" t="s">
        <v>159</v>
      </c>
    </row>
    <row r="9" spans="1:8" ht="15" customHeight="1" x14ac:dyDescent="0.35">
      <c r="A9" s="7">
        <v>7</v>
      </c>
      <c r="B9" s="8">
        <v>46186</v>
      </c>
      <c r="C9" s="9" t="s">
        <v>44</v>
      </c>
      <c r="D9" s="7" t="s">
        <v>58</v>
      </c>
      <c r="E9" s="10" t="s">
        <v>61</v>
      </c>
      <c r="F9" s="10" t="s">
        <v>62</v>
      </c>
      <c r="G9" s="23" t="s">
        <v>160</v>
      </c>
      <c r="H9" s="9" t="s">
        <v>156</v>
      </c>
    </row>
    <row r="10" spans="1:8" ht="15" customHeight="1" x14ac:dyDescent="0.35">
      <c r="A10" s="13">
        <v>8</v>
      </c>
      <c r="B10" s="14">
        <v>46186</v>
      </c>
      <c r="C10" s="15" t="s">
        <v>44</v>
      </c>
      <c r="D10" s="13" t="s">
        <v>53</v>
      </c>
      <c r="E10" s="16" t="s">
        <v>63</v>
      </c>
      <c r="F10" s="16" t="s">
        <v>64</v>
      </c>
      <c r="G10" s="24" t="s">
        <v>161</v>
      </c>
      <c r="H10" s="15" t="s">
        <v>162</v>
      </c>
    </row>
    <row r="11" spans="1:8" ht="15" customHeight="1" x14ac:dyDescent="0.35">
      <c r="A11" s="7">
        <v>9</v>
      </c>
      <c r="B11" s="8">
        <v>46187</v>
      </c>
      <c r="C11" s="9" t="s">
        <v>44</v>
      </c>
      <c r="D11" s="7" t="s">
        <v>65</v>
      </c>
      <c r="E11" s="10" t="s">
        <v>66</v>
      </c>
      <c r="F11" s="10" t="s">
        <v>67</v>
      </c>
      <c r="G11" s="23" t="s">
        <v>163</v>
      </c>
      <c r="H11" s="9" t="s">
        <v>164</v>
      </c>
    </row>
    <row r="12" spans="1:8" ht="15" customHeight="1" x14ac:dyDescent="0.35">
      <c r="A12" s="13">
        <v>10</v>
      </c>
      <c r="B12" s="14">
        <v>46187</v>
      </c>
      <c r="C12" s="15" t="s">
        <v>44</v>
      </c>
      <c r="D12" s="13" t="s">
        <v>68</v>
      </c>
      <c r="E12" s="16" t="s">
        <v>69</v>
      </c>
      <c r="F12" s="16" t="s">
        <v>70</v>
      </c>
      <c r="G12" s="24" t="s">
        <v>165</v>
      </c>
      <c r="H12" s="15" t="s">
        <v>166</v>
      </c>
    </row>
    <row r="13" spans="1:8" ht="15" customHeight="1" x14ac:dyDescent="0.35">
      <c r="A13" s="7">
        <v>11</v>
      </c>
      <c r="B13" s="8">
        <v>46187</v>
      </c>
      <c r="C13" s="9" t="s">
        <v>44</v>
      </c>
      <c r="D13" s="7" t="s">
        <v>65</v>
      </c>
      <c r="E13" s="10" t="s">
        <v>71</v>
      </c>
      <c r="F13" s="10" t="s">
        <v>72</v>
      </c>
      <c r="G13" s="23" t="s">
        <v>167</v>
      </c>
      <c r="H13" s="9" t="s">
        <v>168</v>
      </c>
    </row>
    <row r="14" spans="1:8" ht="15" customHeight="1" x14ac:dyDescent="0.35">
      <c r="A14" s="13">
        <v>12</v>
      </c>
      <c r="B14" s="14">
        <v>46187</v>
      </c>
      <c r="C14" s="15" t="s">
        <v>44</v>
      </c>
      <c r="D14" s="13" t="s">
        <v>68</v>
      </c>
      <c r="E14" s="16" t="s">
        <v>73</v>
      </c>
      <c r="F14" s="16" t="s">
        <v>74</v>
      </c>
      <c r="G14" s="24" t="s">
        <v>169</v>
      </c>
      <c r="H14" s="15" t="s">
        <v>153</v>
      </c>
    </row>
    <row r="15" spans="1:8" ht="15" customHeight="1" x14ac:dyDescent="0.35">
      <c r="A15" s="7">
        <v>13</v>
      </c>
      <c r="B15" s="8">
        <v>46188</v>
      </c>
      <c r="C15" s="9" t="s">
        <v>44</v>
      </c>
      <c r="D15" s="7" t="s">
        <v>75</v>
      </c>
      <c r="E15" s="10" t="s">
        <v>76</v>
      </c>
      <c r="F15" s="10" t="s">
        <v>77</v>
      </c>
      <c r="G15" s="23" t="s">
        <v>170</v>
      </c>
      <c r="H15" s="9" t="s">
        <v>171</v>
      </c>
    </row>
    <row r="16" spans="1:8" ht="15" customHeight="1" x14ac:dyDescent="0.35">
      <c r="A16" s="13">
        <v>14</v>
      </c>
      <c r="B16" s="14">
        <v>46188</v>
      </c>
      <c r="C16" s="15" t="s">
        <v>44</v>
      </c>
      <c r="D16" s="13" t="s">
        <v>78</v>
      </c>
      <c r="E16" s="16" t="s">
        <v>79</v>
      </c>
      <c r="F16" s="16" t="s">
        <v>80</v>
      </c>
      <c r="G16" s="24" t="s">
        <v>172</v>
      </c>
      <c r="H16" s="15" t="s">
        <v>151</v>
      </c>
    </row>
    <row r="17" spans="1:8" ht="15" customHeight="1" x14ac:dyDescent="0.35">
      <c r="A17" s="7">
        <v>15</v>
      </c>
      <c r="B17" s="8">
        <v>46188</v>
      </c>
      <c r="C17" s="9" t="s">
        <v>44</v>
      </c>
      <c r="D17" s="7" t="s">
        <v>75</v>
      </c>
      <c r="E17" s="10" t="s">
        <v>81</v>
      </c>
      <c r="F17" s="10" t="s">
        <v>82</v>
      </c>
      <c r="G17" s="23" t="s">
        <v>173</v>
      </c>
      <c r="H17" s="9" t="s">
        <v>159</v>
      </c>
    </row>
    <row r="18" spans="1:8" ht="15" customHeight="1" x14ac:dyDescent="0.35">
      <c r="A18" s="13">
        <v>16</v>
      </c>
      <c r="B18" s="14">
        <v>46188</v>
      </c>
      <c r="C18" s="15" t="s">
        <v>44</v>
      </c>
      <c r="D18" s="13" t="s">
        <v>78</v>
      </c>
      <c r="E18" s="16" t="s">
        <v>83</v>
      </c>
      <c r="F18" s="16" t="s">
        <v>84</v>
      </c>
      <c r="G18" s="24" t="s">
        <v>155</v>
      </c>
      <c r="H18" s="15" t="s">
        <v>156</v>
      </c>
    </row>
    <row r="19" spans="1:8" ht="15" customHeight="1" x14ac:dyDescent="0.35">
      <c r="A19" s="7">
        <v>17</v>
      </c>
      <c r="B19" s="8">
        <v>46189</v>
      </c>
      <c r="C19" s="9" t="s">
        <v>44</v>
      </c>
      <c r="D19" s="7" t="s">
        <v>85</v>
      </c>
      <c r="E19" s="10" t="s">
        <v>86</v>
      </c>
      <c r="F19" s="10" t="s">
        <v>87</v>
      </c>
      <c r="G19" s="23" t="s">
        <v>158</v>
      </c>
      <c r="H19" s="9" t="s">
        <v>151</v>
      </c>
    </row>
    <row r="20" spans="1:8" ht="15" customHeight="1" x14ac:dyDescent="0.35">
      <c r="A20" s="13">
        <v>18</v>
      </c>
      <c r="B20" s="14">
        <v>46189</v>
      </c>
      <c r="C20" s="15" t="s">
        <v>44</v>
      </c>
      <c r="D20" s="13" t="s">
        <v>85</v>
      </c>
      <c r="E20" s="16" t="s">
        <v>88</v>
      </c>
      <c r="F20" s="16" t="s">
        <v>89</v>
      </c>
      <c r="G20" s="24" t="s">
        <v>160</v>
      </c>
      <c r="H20" s="15" t="s">
        <v>159</v>
      </c>
    </row>
    <row r="21" spans="1:8" ht="15" customHeight="1" x14ac:dyDescent="0.35">
      <c r="A21" s="7">
        <v>19</v>
      </c>
      <c r="B21" s="8">
        <v>46189</v>
      </c>
      <c r="C21" s="9" t="s">
        <v>44</v>
      </c>
      <c r="D21" s="7" t="s">
        <v>90</v>
      </c>
      <c r="E21" s="10" t="s">
        <v>91</v>
      </c>
      <c r="F21" s="10" t="s">
        <v>92</v>
      </c>
      <c r="G21" s="23" t="s">
        <v>174</v>
      </c>
      <c r="H21" s="9" t="s">
        <v>156</v>
      </c>
    </row>
    <row r="22" spans="1:8" ht="15" customHeight="1" x14ac:dyDescent="0.35">
      <c r="A22" s="13">
        <v>20</v>
      </c>
      <c r="B22" s="14">
        <v>46189</v>
      </c>
      <c r="C22" s="15" t="s">
        <v>44</v>
      </c>
      <c r="D22" s="13" t="s">
        <v>90</v>
      </c>
      <c r="E22" s="16" t="s">
        <v>93</v>
      </c>
      <c r="F22" s="16" t="s">
        <v>94</v>
      </c>
      <c r="G22" s="24" t="s">
        <v>157</v>
      </c>
      <c r="H22" s="15" t="s">
        <v>162</v>
      </c>
    </row>
    <row r="23" spans="1:8" ht="15" customHeight="1" x14ac:dyDescent="0.35">
      <c r="A23" s="7">
        <v>21</v>
      </c>
      <c r="B23" s="8">
        <v>46190</v>
      </c>
      <c r="C23" s="9" t="s">
        <v>44</v>
      </c>
      <c r="D23" s="7" t="s">
        <v>95</v>
      </c>
      <c r="E23" s="10" t="s">
        <v>96</v>
      </c>
      <c r="F23" s="10" t="s">
        <v>97</v>
      </c>
      <c r="G23" s="23" t="s">
        <v>163</v>
      </c>
      <c r="H23" s="9" t="s">
        <v>164</v>
      </c>
    </row>
    <row r="24" spans="1:8" ht="15" customHeight="1" x14ac:dyDescent="0.35">
      <c r="A24" s="13">
        <v>22</v>
      </c>
      <c r="B24" s="14">
        <v>46190</v>
      </c>
      <c r="C24" s="15" t="s">
        <v>44</v>
      </c>
      <c r="D24" s="13" t="s">
        <v>98</v>
      </c>
      <c r="E24" s="16" t="s">
        <v>99</v>
      </c>
      <c r="F24" s="16" t="s">
        <v>100</v>
      </c>
      <c r="G24" s="24" t="s">
        <v>165</v>
      </c>
      <c r="H24" s="15" t="s">
        <v>166</v>
      </c>
    </row>
    <row r="25" spans="1:8" ht="15" customHeight="1" x14ac:dyDescent="0.35">
      <c r="A25" s="7">
        <v>23</v>
      </c>
      <c r="B25" s="8">
        <v>46190</v>
      </c>
      <c r="C25" s="9" t="s">
        <v>44</v>
      </c>
      <c r="D25" s="7" t="s">
        <v>98</v>
      </c>
      <c r="E25" s="10" t="s">
        <v>101</v>
      </c>
      <c r="F25" s="10" t="s">
        <v>102</v>
      </c>
      <c r="G25" s="23" t="s">
        <v>154</v>
      </c>
      <c r="H25" s="9" t="s">
        <v>168</v>
      </c>
    </row>
    <row r="26" spans="1:8" ht="15" customHeight="1" x14ac:dyDescent="0.35">
      <c r="A26" s="13">
        <v>24</v>
      </c>
      <c r="B26" s="14">
        <v>46190</v>
      </c>
      <c r="C26" s="15" t="s">
        <v>44</v>
      </c>
      <c r="D26" s="13" t="s">
        <v>95</v>
      </c>
      <c r="E26" s="16" t="s">
        <v>103</v>
      </c>
      <c r="F26" s="16" t="s">
        <v>104</v>
      </c>
      <c r="G26" s="24" t="s">
        <v>150</v>
      </c>
      <c r="H26" s="15" t="s">
        <v>153</v>
      </c>
    </row>
    <row r="27" spans="1:8" ht="15" customHeight="1" x14ac:dyDescent="0.35">
      <c r="A27" s="7">
        <v>25</v>
      </c>
      <c r="B27" s="8">
        <v>46191</v>
      </c>
      <c r="C27" s="9" t="s">
        <v>44</v>
      </c>
      <c r="D27" s="7" t="s">
        <v>45</v>
      </c>
      <c r="E27" s="10" t="s">
        <v>49</v>
      </c>
      <c r="F27" s="10" t="s">
        <v>47</v>
      </c>
      <c r="G27" s="23" t="s">
        <v>170</v>
      </c>
      <c r="H27" s="9" t="s">
        <v>171</v>
      </c>
    </row>
    <row r="28" spans="1:8" ht="15" customHeight="1" x14ac:dyDescent="0.35">
      <c r="A28" s="13">
        <v>26</v>
      </c>
      <c r="B28" s="14">
        <v>46191</v>
      </c>
      <c r="C28" s="15" t="s">
        <v>44</v>
      </c>
      <c r="D28" s="13" t="s">
        <v>50</v>
      </c>
      <c r="E28" s="16" t="s">
        <v>57</v>
      </c>
      <c r="F28" s="16" t="s">
        <v>52</v>
      </c>
      <c r="G28" s="24" t="s">
        <v>155</v>
      </c>
      <c r="H28" s="15" t="s">
        <v>151</v>
      </c>
    </row>
    <row r="29" spans="1:8" ht="15" customHeight="1" x14ac:dyDescent="0.35">
      <c r="A29" s="7">
        <v>27</v>
      </c>
      <c r="B29" s="8">
        <v>46191</v>
      </c>
      <c r="C29" s="9" t="s">
        <v>44</v>
      </c>
      <c r="D29" s="7" t="s">
        <v>50</v>
      </c>
      <c r="E29" s="10" t="s">
        <v>51</v>
      </c>
      <c r="F29" s="10" t="s">
        <v>56</v>
      </c>
      <c r="G29" s="23" t="s">
        <v>161</v>
      </c>
      <c r="H29" s="9" t="s">
        <v>159</v>
      </c>
    </row>
    <row r="30" spans="1:8" ht="15" customHeight="1" x14ac:dyDescent="0.35">
      <c r="A30" s="13">
        <v>28</v>
      </c>
      <c r="B30" s="14">
        <v>46191</v>
      </c>
      <c r="C30" s="15" t="s">
        <v>44</v>
      </c>
      <c r="D30" s="13" t="s">
        <v>45</v>
      </c>
      <c r="E30" s="16" t="s">
        <v>46</v>
      </c>
      <c r="F30" s="16" t="s">
        <v>48</v>
      </c>
      <c r="G30" s="24" t="s">
        <v>152</v>
      </c>
      <c r="H30" s="15" t="s">
        <v>156</v>
      </c>
    </row>
    <row r="31" spans="1:8" ht="15" customHeight="1" x14ac:dyDescent="0.35">
      <c r="A31" s="7">
        <v>29</v>
      </c>
      <c r="B31" s="8">
        <v>46192</v>
      </c>
      <c r="C31" s="9" t="s">
        <v>44</v>
      </c>
      <c r="D31" s="7" t="s">
        <v>53</v>
      </c>
      <c r="E31" s="10" t="s">
        <v>54</v>
      </c>
      <c r="F31" s="10" t="s">
        <v>63</v>
      </c>
      <c r="G31" s="23" t="s">
        <v>172</v>
      </c>
      <c r="H31" s="9" t="s">
        <v>151</v>
      </c>
    </row>
    <row r="32" spans="1:8" ht="15" customHeight="1" x14ac:dyDescent="0.35">
      <c r="A32" s="13">
        <v>30</v>
      </c>
      <c r="B32" s="14">
        <v>46192</v>
      </c>
      <c r="C32" s="15" t="s">
        <v>44</v>
      </c>
      <c r="D32" s="13" t="s">
        <v>58</v>
      </c>
      <c r="E32" s="16" t="s">
        <v>62</v>
      </c>
      <c r="F32" s="16" t="s">
        <v>60</v>
      </c>
      <c r="G32" s="24" t="s">
        <v>160</v>
      </c>
      <c r="H32" s="15" t="s">
        <v>151</v>
      </c>
    </row>
    <row r="33" spans="1:8" ht="15" customHeight="1" x14ac:dyDescent="0.35">
      <c r="A33" s="7">
        <v>31</v>
      </c>
      <c r="B33" s="8">
        <v>46192</v>
      </c>
      <c r="C33" s="9" t="s">
        <v>44</v>
      </c>
      <c r="D33" s="7" t="s">
        <v>58</v>
      </c>
      <c r="E33" s="10" t="s">
        <v>59</v>
      </c>
      <c r="F33" s="10" t="s">
        <v>61</v>
      </c>
      <c r="G33" s="23" t="s">
        <v>167</v>
      </c>
      <c r="H33" s="9" t="s">
        <v>156</v>
      </c>
    </row>
    <row r="34" spans="1:8" ht="15" customHeight="1" x14ac:dyDescent="0.35">
      <c r="A34" s="13">
        <v>32</v>
      </c>
      <c r="B34" s="14">
        <v>46192</v>
      </c>
      <c r="C34" s="15" t="s">
        <v>44</v>
      </c>
      <c r="D34" s="13" t="s">
        <v>53</v>
      </c>
      <c r="E34" s="16" t="s">
        <v>64</v>
      </c>
      <c r="F34" s="16" t="s">
        <v>55</v>
      </c>
      <c r="G34" s="24" t="s">
        <v>157</v>
      </c>
      <c r="H34" s="15" t="s">
        <v>162</v>
      </c>
    </row>
    <row r="35" spans="1:8" ht="15" customHeight="1" x14ac:dyDescent="0.35">
      <c r="A35" s="7">
        <v>33</v>
      </c>
      <c r="B35" s="8">
        <v>46193</v>
      </c>
      <c r="C35" s="9" t="s">
        <v>44</v>
      </c>
      <c r="D35" s="7" t="s">
        <v>68</v>
      </c>
      <c r="E35" s="10" t="s">
        <v>69</v>
      </c>
      <c r="F35" s="10" t="s">
        <v>74</v>
      </c>
      <c r="G35" s="23" t="s">
        <v>163</v>
      </c>
      <c r="H35" s="9" t="s">
        <v>164</v>
      </c>
    </row>
    <row r="36" spans="1:8" ht="15" customHeight="1" x14ac:dyDescent="0.35">
      <c r="A36" s="13">
        <v>34</v>
      </c>
      <c r="B36" s="14">
        <v>46193</v>
      </c>
      <c r="C36" s="15" t="s">
        <v>44</v>
      </c>
      <c r="D36" s="13" t="s">
        <v>65</v>
      </c>
      <c r="E36" s="16" t="s">
        <v>66</v>
      </c>
      <c r="F36" s="16" t="s">
        <v>71</v>
      </c>
      <c r="G36" s="24" t="s">
        <v>154</v>
      </c>
      <c r="H36" s="15" t="s">
        <v>166</v>
      </c>
    </row>
    <row r="37" spans="1:8" ht="15" customHeight="1" x14ac:dyDescent="0.35">
      <c r="A37" s="7">
        <v>35</v>
      </c>
      <c r="B37" s="8">
        <v>46193</v>
      </c>
      <c r="C37" s="9" t="s">
        <v>44</v>
      </c>
      <c r="D37" s="7" t="s">
        <v>65</v>
      </c>
      <c r="E37" s="10" t="s">
        <v>72</v>
      </c>
      <c r="F37" s="10" t="s">
        <v>67</v>
      </c>
      <c r="G37" s="23" t="s">
        <v>174</v>
      </c>
      <c r="H37" s="9" t="s">
        <v>175</v>
      </c>
    </row>
    <row r="38" spans="1:8" ht="15" customHeight="1" x14ac:dyDescent="0.35">
      <c r="A38" s="13">
        <v>36</v>
      </c>
      <c r="B38" s="14">
        <v>46193</v>
      </c>
      <c r="C38" s="15" t="s">
        <v>44</v>
      </c>
      <c r="D38" s="13" t="s">
        <v>68</v>
      </c>
      <c r="E38" s="16" t="s">
        <v>73</v>
      </c>
      <c r="F38" s="16" t="s">
        <v>70</v>
      </c>
      <c r="G38" s="24" t="s">
        <v>169</v>
      </c>
      <c r="H38" s="15" t="s">
        <v>162</v>
      </c>
    </row>
    <row r="39" spans="1:8" ht="15" customHeight="1" x14ac:dyDescent="0.35">
      <c r="A39" s="7">
        <v>37</v>
      </c>
      <c r="B39" s="8">
        <v>46194</v>
      </c>
      <c r="C39" s="9" t="s">
        <v>44</v>
      </c>
      <c r="D39" s="7" t="s">
        <v>75</v>
      </c>
      <c r="E39" s="10" t="s">
        <v>76</v>
      </c>
      <c r="F39" s="10" t="s">
        <v>81</v>
      </c>
      <c r="G39" s="23" t="s">
        <v>170</v>
      </c>
      <c r="H39" s="9" t="s">
        <v>171</v>
      </c>
    </row>
    <row r="40" spans="1:8" ht="15" customHeight="1" x14ac:dyDescent="0.35">
      <c r="A40" s="13">
        <v>38</v>
      </c>
      <c r="B40" s="14">
        <v>46194</v>
      </c>
      <c r="C40" s="15" t="s">
        <v>44</v>
      </c>
      <c r="D40" s="13" t="s">
        <v>78</v>
      </c>
      <c r="E40" s="16" t="s">
        <v>79</v>
      </c>
      <c r="F40" s="16" t="s">
        <v>83</v>
      </c>
      <c r="G40" s="24" t="s">
        <v>155</v>
      </c>
      <c r="H40" s="15" t="s">
        <v>151</v>
      </c>
    </row>
    <row r="41" spans="1:8" ht="15" customHeight="1" x14ac:dyDescent="0.35">
      <c r="A41" s="7">
        <v>39</v>
      </c>
      <c r="B41" s="8">
        <v>46194</v>
      </c>
      <c r="C41" s="9" t="s">
        <v>44</v>
      </c>
      <c r="D41" s="7" t="s">
        <v>75</v>
      </c>
      <c r="E41" s="10" t="s">
        <v>82</v>
      </c>
      <c r="F41" s="10" t="s">
        <v>77</v>
      </c>
      <c r="G41" s="23" t="s">
        <v>173</v>
      </c>
      <c r="H41" s="9" t="s">
        <v>159</v>
      </c>
    </row>
    <row r="42" spans="1:8" ht="15" customHeight="1" x14ac:dyDescent="0.35">
      <c r="A42" s="13">
        <v>40</v>
      </c>
      <c r="B42" s="14">
        <v>46194</v>
      </c>
      <c r="C42" s="15" t="s">
        <v>44</v>
      </c>
      <c r="D42" s="13" t="s">
        <v>78</v>
      </c>
      <c r="E42" s="16" t="s">
        <v>84</v>
      </c>
      <c r="F42" s="16" t="s">
        <v>80</v>
      </c>
      <c r="G42" s="24" t="s">
        <v>161</v>
      </c>
      <c r="H42" s="15" t="s">
        <v>156</v>
      </c>
    </row>
    <row r="43" spans="1:8" ht="15" customHeight="1" x14ac:dyDescent="0.35">
      <c r="A43" s="7">
        <v>41</v>
      </c>
      <c r="B43" s="8">
        <v>46195</v>
      </c>
      <c r="C43" s="9" t="s">
        <v>44</v>
      </c>
      <c r="D43" s="7" t="s">
        <v>90</v>
      </c>
      <c r="E43" s="10" t="s">
        <v>91</v>
      </c>
      <c r="F43" s="10" t="s">
        <v>93</v>
      </c>
      <c r="G43" s="23" t="s">
        <v>165</v>
      </c>
      <c r="H43" s="9" t="s">
        <v>164</v>
      </c>
    </row>
    <row r="44" spans="1:8" ht="15" customHeight="1" x14ac:dyDescent="0.35">
      <c r="A44" s="13">
        <v>42</v>
      </c>
      <c r="B44" s="14">
        <v>46195</v>
      </c>
      <c r="C44" s="15" t="s">
        <v>44</v>
      </c>
      <c r="D44" s="13" t="s">
        <v>85</v>
      </c>
      <c r="E44" s="16" t="s">
        <v>86</v>
      </c>
      <c r="F44" s="16" t="s">
        <v>88</v>
      </c>
      <c r="G44" s="24" t="s">
        <v>167</v>
      </c>
      <c r="H44" s="15" t="s">
        <v>176</v>
      </c>
    </row>
    <row r="45" spans="1:8" ht="15" customHeight="1" x14ac:dyDescent="0.35">
      <c r="A45" s="7">
        <v>43</v>
      </c>
      <c r="B45" s="8">
        <v>46195</v>
      </c>
      <c r="C45" s="9" t="s">
        <v>44</v>
      </c>
      <c r="D45" s="7" t="s">
        <v>85</v>
      </c>
      <c r="E45" s="10" t="s">
        <v>89</v>
      </c>
      <c r="F45" s="10" t="s">
        <v>87</v>
      </c>
      <c r="G45" s="23" t="s">
        <v>158</v>
      </c>
      <c r="H45" s="9" t="s">
        <v>175</v>
      </c>
    </row>
    <row r="46" spans="1:8" ht="15" customHeight="1" x14ac:dyDescent="0.35">
      <c r="A46" s="13">
        <v>44</v>
      </c>
      <c r="B46" s="14">
        <v>46195</v>
      </c>
      <c r="C46" s="15" t="s">
        <v>44</v>
      </c>
      <c r="D46" s="13" t="s">
        <v>90</v>
      </c>
      <c r="E46" s="16" t="s">
        <v>94</v>
      </c>
      <c r="F46" s="16" t="s">
        <v>92</v>
      </c>
      <c r="G46" s="24" t="s">
        <v>157</v>
      </c>
      <c r="H46" s="15" t="s">
        <v>177</v>
      </c>
    </row>
    <row r="47" spans="1:8" ht="15" customHeight="1" x14ac:dyDescent="0.35">
      <c r="A47" s="7">
        <v>45</v>
      </c>
      <c r="B47" s="8">
        <v>46196</v>
      </c>
      <c r="C47" s="9" t="s">
        <v>44</v>
      </c>
      <c r="D47" s="7" t="s">
        <v>95</v>
      </c>
      <c r="E47" s="10" t="s">
        <v>96</v>
      </c>
      <c r="F47" s="10" t="s">
        <v>103</v>
      </c>
      <c r="G47" s="23" t="s">
        <v>163</v>
      </c>
      <c r="H47" s="9" t="s">
        <v>164</v>
      </c>
    </row>
    <row r="48" spans="1:8" ht="15" customHeight="1" x14ac:dyDescent="0.35">
      <c r="A48" s="13">
        <v>46</v>
      </c>
      <c r="B48" s="14">
        <v>46196</v>
      </c>
      <c r="C48" s="15" t="s">
        <v>44</v>
      </c>
      <c r="D48" s="13" t="s">
        <v>98</v>
      </c>
      <c r="E48" s="16" t="s">
        <v>99</v>
      </c>
      <c r="F48" s="16" t="s">
        <v>101</v>
      </c>
      <c r="G48" s="24" t="s">
        <v>160</v>
      </c>
      <c r="H48" s="15" t="s">
        <v>166</v>
      </c>
    </row>
    <row r="49" spans="1:8" ht="15" customHeight="1" x14ac:dyDescent="0.35">
      <c r="A49" s="7">
        <v>47</v>
      </c>
      <c r="B49" s="8">
        <v>46196</v>
      </c>
      <c r="C49" s="9" t="s">
        <v>44</v>
      </c>
      <c r="D49" s="7" t="s">
        <v>98</v>
      </c>
      <c r="E49" s="10" t="s">
        <v>102</v>
      </c>
      <c r="F49" s="10" t="s">
        <v>100</v>
      </c>
      <c r="G49" s="23" t="s">
        <v>154</v>
      </c>
      <c r="H49" s="9" t="s">
        <v>168</v>
      </c>
    </row>
    <row r="50" spans="1:8" ht="15" customHeight="1" x14ac:dyDescent="0.35">
      <c r="A50" s="13">
        <v>48</v>
      </c>
      <c r="B50" s="14">
        <v>46196</v>
      </c>
      <c r="C50" s="15" t="s">
        <v>44</v>
      </c>
      <c r="D50" s="13" t="s">
        <v>95</v>
      </c>
      <c r="E50" s="16" t="s">
        <v>104</v>
      </c>
      <c r="F50" s="16" t="s">
        <v>97</v>
      </c>
      <c r="G50" s="24" t="s">
        <v>152</v>
      </c>
      <c r="H50" s="15" t="s">
        <v>153</v>
      </c>
    </row>
    <row r="51" spans="1:8" ht="15" customHeight="1" x14ac:dyDescent="0.35">
      <c r="A51" s="7">
        <v>49</v>
      </c>
      <c r="B51" s="8">
        <v>46197</v>
      </c>
      <c r="C51" s="9" t="s">
        <v>44</v>
      </c>
      <c r="D51" s="7" t="s">
        <v>50</v>
      </c>
      <c r="E51" s="10" t="s">
        <v>57</v>
      </c>
      <c r="F51" s="10" t="s">
        <v>51</v>
      </c>
      <c r="G51" s="23" t="s">
        <v>161</v>
      </c>
      <c r="H51" s="9" t="s">
        <v>151</v>
      </c>
    </row>
    <row r="52" spans="1:8" ht="15" customHeight="1" x14ac:dyDescent="0.35">
      <c r="A52" s="13">
        <v>50</v>
      </c>
      <c r="B52" s="14">
        <v>46197</v>
      </c>
      <c r="C52" s="15" t="s">
        <v>44</v>
      </c>
      <c r="D52" s="13" t="s">
        <v>50</v>
      </c>
      <c r="E52" s="16" t="s">
        <v>52</v>
      </c>
      <c r="F52" s="16" t="s">
        <v>56</v>
      </c>
      <c r="G52" s="24" t="s">
        <v>172</v>
      </c>
      <c r="H52" s="15" t="s">
        <v>151</v>
      </c>
    </row>
    <row r="53" spans="1:8" ht="15" customHeight="1" x14ac:dyDescent="0.35">
      <c r="A53" s="7">
        <v>51</v>
      </c>
      <c r="B53" s="8">
        <v>46197</v>
      </c>
      <c r="C53" s="9" t="s">
        <v>44</v>
      </c>
      <c r="D53" s="7" t="s">
        <v>58</v>
      </c>
      <c r="E53" s="10" t="s">
        <v>59</v>
      </c>
      <c r="F53" s="10" t="s">
        <v>62</v>
      </c>
      <c r="G53" s="23" t="s">
        <v>173</v>
      </c>
      <c r="H53" s="9" t="s">
        <v>159</v>
      </c>
    </row>
    <row r="54" spans="1:8" ht="15" customHeight="1" x14ac:dyDescent="0.35">
      <c r="A54" s="13">
        <v>52</v>
      </c>
      <c r="B54" s="14">
        <v>46197</v>
      </c>
      <c r="C54" s="15" t="s">
        <v>44</v>
      </c>
      <c r="D54" s="13" t="s">
        <v>58</v>
      </c>
      <c r="E54" s="16" t="s">
        <v>60</v>
      </c>
      <c r="F54" s="16" t="s">
        <v>61</v>
      </c>
      <c r="G54" s="24" t="s">
        <v>170</v>
      </c>
      <c r="H54" s="15" t="s">
        <v>159</v>
      </c>
    </row>
    <row r="55" spans="1:8" ht="15" customHeight="1" x14ac:dyDescent="0.35">
      <c r="A55" s="7">
        <v>53</v>
      </c>
      <c r="B55" s="8">
        <v>46197</v>
      </c>
      <c r="C55" s="9" t="s">
        <v>44</v>
      </c>
      <c r="D55" s="7" t="s">
        <v>45</v>
      </c>
      <c r="E55" s="10" t="s">
        <v>46</v>
      </c>
      <c r="F55" s="10" t="s">
        <v>49</v>
      </c>
      <c r="G55" s="23" t="s">
        <v>150</v>
      </c>
      <c r="H55" s="9" t="s">
        <v>156</v>
      </c>
    </row>
    <row r="56" spans="1:8" ht="15" customHeight="1" x14ac:dyDescent="0.35">
      <c r="A56" s="13">
        <v>54</v>
      </c>
      <c r="B56" s="14">
        <v>46197</v>
      </c>
      <c r="C56" s="15" t="s">
        <v>44</v>
      </c>
      <c r="D56" s="13" t="s">
        <v>45</v>
      </c>
      <c r="E56" s="16" t="s">
        <v>48</v>
      </c>
      <c r="F56" s="16" t="s">
        <v>47</v>
      </c>
      <c r="G56" s="24" t="s">
        <v>169</v>
      </c>
      <c r="H56" s="15" t="s">
        <v>156</v>
      </c>
    </row>
    <row r="57" spans="1:8" ht="15" customHeight="1" x14ac:dyDescent="0.35">
      <c r="A57" s="7">
        <v>55</v>
      </c>
      <c r="B57" s="8">
        <v>46198</v>
      </c>
      <c r="C57" s="9" t="s">
        <v>44</v>
      </c>
      <c r="D57" s="7" t="s">
        <v>65</v>
      </c>
      <c r="E57" s="10" t="s">
        <v>72</v>
      </c>
      <c r="F57" s="10" t="s">
        <v>66</v>
      </c>
      <c r="G57" s="23" t="s">
        <v>158</v>
      </c>
      <c r="H57" s="9" t="s">
        <v>166</v>
      </c>
    </row>
    <row r="58" spans="1:8" ht="15" customHeight="1" x14ac:dyDescent="0.35">
      <c r="A58" s="13">
        <v>56</v>
      </c>
      <c r="B58" s="14">
        <v>46198</v>
      </c>
      <c r="C58" s="15" t="s">
        <v>44</v>
      </c>
      <c r="D58" s="13" t="s">
        <v>65</v>
      </c>
      <c r="E58" s="16" t="s">
        <v>67</v>
      </c>
      <c r="F58" s="16" t="s">
        <v>71</v>
      </c>
      <c r="G58" s="24" t="s">
        <v>167</v>
      </c>
      <c r="H58" s="15" t="s">
        <v>166</v>
      </c>
    </row>
    <row r="59" spans="1:8" ht="15" customHeight="1" x14ac:dyDescent="0.35">
      <c r="A59" s="7">
        <v>57</v>
      </c>
      <c r="B59" s="8">
        <v>46198</v>
      </c>
      <c r="C59" s="9" t="s">
        <v>44</v>
      </c>
      <c r="D59" s="7" t="s">
        <v>68</v>
      </c>
      <c r="E59" s="10" t="s">
        <v>73</v>
      </c>
      <c r="F59" s="10" t="s">
        <v>69</v>
      </c>
      <c r="G59" s="23" t="s">
        <v>174</v>
      </c>
      <c r="H59" s="9" t="s">
        <v>168</v>
      </c>
    </row>
    <row r="60" spans="1:8" ht="15" customHeight="1" x14ac:dyDescent="0.35">
      <c r="A60" s="13">
        <v>58</v>
      </c>
      <c r="B60" s="14">
        <v>46198</v>
      </c>
      <c r="C60" s="15" t="s">
        <v>44</v>
      </c>
      <c r="D60" s="13" t="s">
        <v>68</v>
      </c>
      <c r="E60" s="16" t="s">
        <v>70</v>
      </c>
      <c r="F60" s="16" t="s">
        <v>74</v>
      </c>
      <c r="G60" s="24" t="s">
        <v>165</v>
      </c>
      <c r="H60" s="15" t="s">
        <v>168</v>
      </c>
    </row>
    <row r="61" spans="1:8" ht="15" customHeight="1" x14ac:dyDescent="0.35">
      <c r="A61" s="7">
        <v>59</v>
      </c>
      <c r="B61" s="8">
        <v>46198</v>
      </c>
      <c r="C61" s="9" t="s">
        <v>44</v>
      </c>
      <c r="D61" s="7" t="s">
        <v>53</v>
      </c>
      <c r="E61" s="10" t="s">
        <v>54</v>
      </c>
      <c r="F61" s="10" t="s">
        <v>64</v>
      </c>
      <c r="G61" s="23" t="s">
        <v>155</v>
      </c>
      <c r="H61" s="9" t="s">
        <v>153</v>
      </c>
    </row>
    <row r="62" spans="1:8" ht="15" customHeight="1" x14ac:dyDescent="0.35">
      <c r="A62" s="13">
        <v>60</v>
      </c>
      <c r="B62" s="14">
        <v>46198</v>
      </c>
      <c r="C62" s="15" t="s">
        <v>44</v>
      </c>
      <c r="D62" s="13" t="s">
        <v>53</v>
      </c>
      <c r="E62" s="16" t="s">
        <v>55</v>
      </c>
      <c r="F62" s="16" t="s">
        <v>63</v>
      </c>
      <c r="G62" s="24" t="s">
        <v>157</v>
      </c>
      <c r="H62" s="15" t="s">
        <v>153</v>
      </c>
    </row>
    <row r="63" spans="1:8" ht="15" customHeight="1" x14ac:dyDescent="0.35">
      <c r="A63" s="7">
        <v>61</v>
      </c>
      <c r="B63" s="8">
        <v>46199</v>
      </c>
      <c r="C63" s="9" t="s">
        <v>44</v>
      </c>
      <c r="D63" s="7" t="s">
        <v>85</v>
      </c>
      <c r="E63" s="10" t="s">
        <v>89</v>
      </c>
      <c r="F63" s="10" t="s">
        <v>86</v>
      </c>
      <c r="G63" s="23" t="s">
        <v>160</v>
      </c>
      <c r="H63" s="9" t="s">
        <v>151</v>
      </c>
    </row>
    <row r="64" spans="1:8" ht="15" customHeight="1" x14ac:dyDescent="0.35">
      <c r="A64" s="13">
        <v>62</v>
      </c>
      <c r="B64" s="14">
        <v>46199</v>
      </c>
      <c r="C64" s="15" t="s">
        <v>44</v>
      </c>
      <c r="D64" s="13" t="s">
        <v>85</v>
      </c>
      <c r="E64" s="16" t="s">
        <v>87</v>
      </c>
      <c r="F64" s="16" t="s">
        <v>88</v>
      </c>
      <c r="G64" s="24" t="s">
        <v>154</v>
      </c>
      <c r="H64" s="15" t="s">
        <v>151</v>
      </c>
    </row>
    <row r="65" spans="1:8" ht="15" customHeight="1" x14ac:dyDescent="0.35">
      <c r="A65" s="7">
        <v>63</v>
      </c>
      <c r="B65" s="8">
        <v>46199</v>
      </c>
      <c r="C65" s="9" t="s">
        <v>44</v>
      </c>
      <c r="D65" s="7" t="s">
        <v>75</v>
      </c>
      <c r="E65" s="10" t="s">
        <v>82</v>
      </c>
      <c r="F65" s="10" t="s">
        <v>76</v>
      </c>
      <c r="G65" s="23" t="s">
        <v>152</v>
      </c>
      <c r="H65" s="9" t="s">
        <v>175</v>
      </c>
    </row>
    <row r="66" spans="1:8" ht="15" customHeight="1" x14ac:dyDescent="0.35">
      <c r="A66" s="13">
        <v>64</v>
      </c>
      <c r="B66" s="14">
        <v>46199</v>
      </c>
      <c r="C66" s="15" t="s">
        <v>44</v>
      </c>
      <c r="D66" s="13" t="s">
        <v>75</v>
      </c>
      <c r="E66" s="16" t="s">
        <v>77</v>
      </c>
      <c r="F66" s="16" t="s">
        <v>81</v>
      </c>
      <c r="G66" s="24" t="s">
        <v>163</v>
      </c>
      <c r="H66" s="15" t="s">
        <v>175</v>
      </c>
    </row>
    <row r="67" spans="1:8" ht="15" customHeight="1" x14ac:dyDescent="0.35">
      <c r="A67" s="7">
        <v>65</v>
      </c>
      <c r="B67" s="8">
        <v>46199</v>
      </c>
      <c r="C67" s="9" t="s">
        <v>44</v>
      </c>
      <c r="D67" s="7" t="s">
        <v>78</v>
      </c>
      <c r="E67" s="10" t="s">
        <v>84</v>
      </c>
      <c r="F67" s="10" t="s">
        <v>79</v>
      </c>
      <c r="G67" s="23" t="s">
        <v>161</v>
      </c>
      <c r="H67" s="9" t="s">
        <v>177</v>
      </c>
    </row>
    <row r="68" spans="1:8" ht="15" customHeight="1" x14ac:dyDescent="0.35">
      <c r="A68" s="13">
        <v>66</v>
      </c>
      <c r="B68" s="14">
        <v>46199</v>
      </c>
      <c r="C68" s="15" t="s">
        <v>44</v>
      </c>
      <c r="D68" s="13" t="s">
        <v>78</v>
      </c>
      <c r="E68" s="16" t="s">
        <v>80</v>
      </c>
      <c r="F68" s="16" t="s">
        <v>83</v>
      </c>
      <c r="G68" s="24" t="s">
        <v>172</v>
      </c>
      <c r="H68" s="15" t="s">
        <v>177</v>
      </c>
    </row>
    <row r="69" spans="1:8" ht="15" customHeight="1" x14ac:dyDescent="0.35">
      <c r="A69" s="7">
        <v>67</v>
      </c>
      <c r="B69" s="8">
        <v>46200</v>
      </c>
      <c r="C69" s="9" t="s">
        <v>44</v>
      </c>
      <c r="D69" s="7" t="s">
        <v>98</v>
      </c>
      <c r="E69" s="10" t="s">
        <v>102</v>
      </c>
      <c r="F69" s="10" t="s">
        <v>99</v>
      </c>
      <c r="G69" s="23" t="s">
        <v>158</v>
      </c>
      <c r="H69" s="9" t="s">
        <v>176</v>
      </c>
    </row>
    <row r="70" spans="1:8" ht="15" customHeight="1" x14ac:dyDescent="0.35">
      <c r="A70" s="13">
        <v>68</v>
      </c>
      <c r="B70" s="14">
        <v>46200</v>
      </c>
      <c r="C70" s="15" t="s">
        <v>44</v>
      </c>
      <c r="D70" s="13" t="s">
        <v>98</v>
      </c>
      <c r="E70" s="16" t="s">
        <v>100</v>
      </c>
      <c r="F70" s="16" t="s">
        <v>101</v>
      </c>
      <c r="G70" s="24" t="s">
        <v>167</v>
      </c>
      <c r="H70" s="15" t="s">
        <v>176</v>
      </c>
    </row>
    <row r="71" spans="1:8" ht="15" customHeight="1" x14ac:dyDescent="0.35">
      <c r="A71" s="7">
        <v>69</v>
      </c>
      <c r="B71" s="8">
        <v>46200</v>
      </c>
      <c r="C71" s="9" t="s">
        <v>44</v>
      </c>
      <c r="D71" s="7" t="s">
        <v>95</v>
      </c>
      <c r="E71" s="10" t="s">
        <v>104</v>
      </c>
      <c r="F71" s="10" t="s">
        <v>96</v>
      </c>
      <c r="G71" s="23" t="s">
        <v>173</v>
      </c>
      <c r="H71" s="9" t="s">
        <v>178</v>
      </c>
    </row>
    <row r="72" spans="1:8" ht="15" customHeight="1" x14ac:dyDescent="0.35">
      <c r="A72" s="13">
        <v>70</v>
      </c>
      <c r="B72" s="14">
        <v>46200</v>
      </c>
      <c r="C72" s="15" t="s">
        <v>44</v>
      </c>
      <c r="D72" s="13" t="s">
        <v>95</v>
      </c>
      <c r="E72" s="16" t="s">
        <v>97</v>
      </c>
      <c r="F72" s="16" t="s">
        <v>103</v>
      </c>
      <c r="G72" s="24" t="s">
        <v>170</v>
      </c>
      <c r="H72" s="15" t="s">
        <v>178</v>
      </c>
    </row>
    <row r="73" spans="1:8" ht="15" customHeight="1" x14ac:dyDescent="0.35">
      <c r="A73" s="7">
        <v>71</v>
      </c>
      <c r="B73" s="8">
        <v>46200</v>
      </c>
      <c r="C73" s="9" t="s">
        <v>44</v>
      </c>
      <c r="D73" s="7" t="s">
        <v>90</v>
      </c>
      <c r="E73" s="10" t="s">
        <v>91</v>
      </c>
      <c r="F73" s="10" t="s">
        <v>94</v>
      </c>
      <c r="G73" s="23" t="s">
        <v>165</v>
      </c>
      <c r="H73" s="9" t="s">
        <v>153</v>
      </c>
    </row>
    <row r="74" spans="1:8" ht="15" customHeight="1" x14ac:dyDescent="0.35">
      <c r="A74" s="13">
        <v>72</v>
      </c>
      <c r="B74" s="14">
        <v>46200</v>
      </c>
      <c r="C74" s="15" t="s">
        <v>44</v>
      </c>
      <c r="D74" s="13" t="s">
        <v>90</v>
      </c>
      <c r="E74" s="16" t="s">
        <v>92</v>
      </c>
      <c r="F74" s="16" t="s">
        <v>93</v>
      </c>
      <c r="G74" s="24" t="s">
        <v>174</v>
      </c>
      <c r="H74" s="15" t="s">
        <v>153</v>
      </c>
    </row>
    <row r="75" spans="1:8" ht="15" customHeight="1" x14ac:dyDescent="0.35">
      <c r="A75" s="18">
        <v>73</v>
      </c>
      <c r="B75" s="19">
        <v>46201</v>
      </c>
      <c r="C75" s="20" t="s">
        <v>105</v>
      </c>
      <c r="D75" s="18"/>
      <c r="E75" s="21" t="s">
        <v>106</v>
      </c>
      <c r="F75" s="21" t="s">
        <v>107</v>
      </c>
      <c r="G75" s="25" t="s">
        <v>155</v>
      </c>
      <c r="H75" s="20" t="s">
        <v>151</v>
      </c>
    </row>
    <row r="76" spans="1:8" ht="15" customHeight="1" x14ac:dyDescent="0.35">
      <c r="A76" s="18">
        <v>74</v>
      </c>
      <c r="B76" s="19">
        <v>46202</v>
      </c>
      <c r="C76" s="20" t="s">
        <v>105</v>
      </c>
      <c r="D76" s="18"/>
      <c r="E76" s="21" t="s">
        <v>108</v>
      </c>
      <c r="F76" s="21" t="s">
        <v>109</v>
      </c>
      <c r="G76" s="25" t="s">
        <v>163</v>
      </c>
      <c r="H76" s="20" t="s">
        <v>164</v>
      </c>
    </row>
    <row r="77" spans="1:8" ht="15" customHeight="1" x14ac:dyDescent="0.35">
      <c r="A77" s="18">
        <v>75</v>
      </c>
      <c r="B77" s="19">
        <v>46202</v>
      </c>
      <c r="C77" s="20" t="s">
        <v>105</v>
      </c>
      <c r="D77" s="18"/>
      <c r="E77" s="21" t="s">
        <v>110</v>
      </c>
      <c r="F77" s="21" t="s">
        <v>111</v>
      </c>
      <c r="G77" s="25" t="s">
        <v>160</v>
      </c>
      <c r="H77" s="20" t="s">
        <v>179</v>
      </c>
    </row>
    <row r="78" spans="1:8" ht="15" customHeight="1" x14ac:dyDescent="0.35">
      <c r="A78" s="18">
        <v>76</v>
      </c>
      <c r="B78" s="19">
        <v>46202</v>
      </c>
      <c r="C78" s="20" t="s">
        <v>105</v>
      </c>
      <c r="D78" s="18"/>
      <c r="E78" s="21" t="s">
        <v>112</v>
      </c>
      <c r="F78" s="21" t="s">
        <v>113</v>
      </c>
      <c r="G78" s="25" t="s">
        <v>169</v>
      </c>
      <c r="H78" s="20" t="s">
        <v>156</v>
      </c>
    </row>
    <row r="79" spans="1:8" ht="15" customHeight="1" x14ac:dyDescent="0.35">
      <c r="A79" s="18">
        <v>77</v>
      </c>
      <c r="B79" s="19">
        <v>46203</v>
      </c>
      <c r="C79" s="20" t="s">
        <v>105</v>
      </c>
      <c r="D79" s="18"/>
      <c r="E79" s="21" t="s">
        <v>114</v>
      </c>
      <c r="F79" s="21" t="s">
        <v>115</v>
      </c>
      <c r="G79" s="25" t="s">
        <v>165</v>
      </c>
      <c r="H79" s="20" t="s">
        <v>164</v>
      </c>
    </row>
    <row r="80" spans="1:8" ht="15" customHeight="1" x14ac:dyDescent="0.35">
      <c r="A80" s="18">
        <v>78</v>
      </c>
      <c r="B80" s="19">
        <v>46203</v>
      </c>
      <c r="C80" s="20" t="s">
        <v>105</v>
      </c>
      <c r="D80" s="18"/>
      <c r="E80" s="21" t="s">
        <v>116</v>
      </c>
      <c r="F80" s="21" t="s">
        <v>117</v>
      </c>
      <c r="G80" s="25" t="s">
        <v>158</v>
      </c>
      <c r="H80" s="20" t="s">
        <v>176</v>
      </c>
    </row>
    <row r="81" spans="1:8" ht="15" customHeight="1" x14ac:dyDescent="0.35">
      <c r="A81" s="18">
        <v>79</v>
      </c>
      <c r="B81" s="19">
        <v>46203</v>
      </c>
      <c r="C81" s="20" t="s">
        <v>105</v>
      </c>
      <c r="D81" s="18"/>
      <c r="E81" s="21" t="s">
        <v>118</v>
      </c>
      <c r="F81" s="21" t="s">
        <v>119</v>
      </c>
      <c r="G81" s="25" t="s">
        <v>150</v>
      </c>
      <c r="H81" s="20" t="s">
        <v>156</v>
      </c>
    </row>
    <row r="82" spans="1:8" ht="15" customHeight="1" x14ac:dyDescent="0.35">
      <c r="A82" s="18">
        <v>80</v>
      </c>
      <c r="B82" s="19">
        <v>46204</v>
      </c>
      <c r="C82" s="20" t="s">
        <v>105</v>
      </c>
      <c r="D82" s="18"/>
      <c r="E82" s="21" t="s">
        <v>120</v>
      </c>
      <c r="F82" s="21" t="s">
        <v>121</v>
      </c>
      <c r="G82" s="25" t="s">
        <v>170</v>
      </c>
      <c r="H82" s="20" t="s">
        <v>171</v>
      </c>
    </row>
    <row r="83" spans="1:8" ht="15" customHeight="1" x14ac:dyDescent="0.35">
      <c r="A83" s="18">
        <v>81</v>
      </c>
      <c r="B83" s="19">
        <v>46204</v>
      </c>
      <c r="C83" s="20" t="s">
        <v>105</v>
      </c>
      <c r="D83" s="18"/>
      <c r="E83" s="21" t="s">
        <v>122</v>
      </c>
      <c r="F83" s="21" t="s">
        <v>123</v>
      </c>
      <c r="G83" s="25" t="s">
        <v>172</v>
      </c>
      <c r="H83" s="20" t="s">
        <v>166</v>
      </c>
    </row>
    <row r="84" spans="1:8" ht="15" customHeight="1" x14ac:dyDescent="0.35">
      <c r="A84" s="18">
        <v>82</v>
      </c>
      <c r="B84" s="19">
        <v>46204</v>
      </c>
      <c r="C84" s="20" t="s">
        <v>105</v>
      </c>
      <c r="D84" s="18"/>
      <c r="E84" s="21" t="s">
        <v>124</v>
      </c>
      <c r="F84" s="21" t="s">
        <v>125</v>
      </c>
      <c r="G84" s="25" t="s">
        <v>157</v>
      </c>
      <c r="H84" s="20" t="s">
        <v>175</v>
      </c>
    </row>
    <row r="85" spans="1:8" ht="15" customHeight="1" x14ac:dyDescent="0.35">
      <c r="A85" s="18">
        <v>83</v>
      </c>
      <c r="B85" s="19">
        <v>46205</v>
      </c>
      <c r="C85" s="20" t="s">
        <v>105</v>
      </c>
      <c r="D85" s="18"/>
      <c r="E85" s="21" t="s">
        <v>126</v>
      </c>
      <c r="F85" s="21" t="s">
        <v>127</v>
      </c>
      <c r="G85" s="25" t="s">
        <v>155</v>
      </c>
      <c r="H85" s="20" t="s">
        <v>151</v>
      </c>
    </row>
    <row r="86" spans="1:8" ht="15" customHeight="1" x14ac:dyDescent="0.35">
      <c r="A86" s="18">
        <v>84</v>
      </c>
      <c r="B86" s="19">
        <v>46205</v>
      </c>
      <c r="C86" s="20" t="s">
        <v>105</v>
      </c>
      <c r="D86" s="18"/>
      <c r="E86" s="21" t="s">
        <v>128</v>
      </c>
      <c r="F86" s="21" t="s">
        <v>129</v>
      </c>
      <c r="G86" s="25" t="s">
        <v>154</v>
      </c>
      <c r="H86" s="20" t="s">
        <v>168</v>
      </c>
    </row>
    <row r="87" spans="1:8" ht="15" customHeight="1" x14ac:dyDescent="0.35">
      <c r="A87" s="18">
        <v>85</v>
      </c>
      <c r="B87" s="19">
        <v>46205</v>
      </c>
      <c r="C87" s="20" t="s">
        <v>105</v>
      </c>
      <c r="D87" s="18"/>
      <c r="E87" s="21" t="s">
        <v>130</v>
      </c>
      <c r="F87" s="21" t="s">
        <v>131</v>
      </c>
      <c r="G87" s="25" t="s">
        <v>161</v>
      </c>
      <c r="H87" s="20" t="s">
        <v>177</v>
      </c>
    </row>
    <row r="88" spans="1:8" ht="15" customHeight="1" x14ac:dyDescent="0.35">
      <c r="A88" s="18">
        <v>86</v>
      </c>
      <c r="B88" s="19">
        <v>46206</v>
      </c>
      <c r="C88" s="20" t="s">
        <v>105</v>
      </c>
      <c r="D88" s="18"/>
      <c r="E88" s="21" t="s">
        <v>132</v>
      </c>
      <c r="F88" s="21" t="s">
        <v>133</v>
      </c>
      <c r="G88" s="25" t="s">
        <v>165</v>
      </c>
      <c r="H88" s="20" t="s">
        <v>180</v>
      </c>
    </row>
    <row r="89" spans="1:8" ht="15" customHeight="1" x14ac:dyDescent="0.35">
      <c r="A89" s="18">
        <v>87</v>
      </c>
      <c r="B89" s="19">
        <v>46206</v>
      </c>
      <c r="C89" s="20" t="s">
        <v>105</v>
      </c>
      <c r="D89" s="18"/>
      <c r="E89" s="21" t="s">
        <v>134</v>
      </c>
      <c r="F89" s="21" t="s">
        <v>135</v>
      </c>
      <c r="G89" s="25" t="s">
        <v>173</v>
      </c>
      <c r="H89" s="20" t="s">
        <v>159</v>
      </c>
    </row>
    <row r="90" spans="1:8" ht="15" customHeight="1" x14ac:dyDescent="0.35">
      <c r="A90" s="18">
        <v>88</v>
      </c>
      <c r="B90" s="19">
        <v>46206</v>
      </c>
      <c r="C90" s="20" t="s">
        <v>105</v>
      </c>
      <c r="D90" s="18"/>
      <c r="E90" s="21" t="s">
        <v>136</v>
      </c>
      <c r="F90" s="21" t="s">
        <v>131</v>
      </c>
      <c r="G90" s="25" t="s">
        <v>174</v>
      </c>
      <c r="H90" s="20" t="s">
        <v>181</v>
      </c>
    </row>
    <row r="91" spans="1:8" ht="15" customHeight="1" x14ac:dyDescent="0.35">
      <c r="A91" s="18">
        <v>89</v>
      </c>
      <c r="B91" s="19">
        <v>46207</v>
      </c>
      <c r="C91" s="20" t="s">
        <v>137</v>
      </c>
      <c r="D91" s="18"/>
      <c r="E91" s="21" t="s">
        <v>138</v>
      </c>
      <c r="F91" s="21" t="s">
        <v>138</v>
      </c>
      <c r="G91" s="25" t="s">
        <v>163</v>
      </c>
      <c r="H91" s="20" t="s">
        <v>164</v>
      </c>
    </row>
    <row r="92" spans="1:8" ht="15" customHeight="1" x14ac:dyDescent="0.35">
      <c r="A92" s="18">
        <v>90</v>
      </c>
      <c r="B92" s="19">
        <v>46207</v>
      </c>
      <c r="C92" s="20" t="s">
        <v>137</v>
      </c>
      <c r="D92" s="18"/>
      <c r="E92" s="21" t="s">
        <v>138</v>
      </c>
      <c r="F92" s="21" t="s">
        <v>138</v>
      </c>
      <c r="G92" s="25" t="s">
        <v>167</v>
      </c>
      <c r="H92" s="20" t="s">
        <v>176</v>
      </c>
    </row>
    <row r="93" spans="1:8" ht="15" customHeight="1" x14ac:dyDescent="0.35">
      <c r="A93" s="18">
        <v>91</v>
      </c>
      <c r="B93" s="19">
        <v>46208</v>
      </c>
      <c r="C93" s="20" t="s">
        <v>137</v>
      </c>
      <c r="D93" s="18"/>
      <c r="E93" s="21" t="s">
        <v>138</v>
      </c>
      <c r="F93" s="21" t="s">
        <v>138</v>
      </c>
      <c r="G93" s="25" t="s">
        <v>158</v>
      </c>
      <c r="H93" s="20" t="s">
        <v>166</v>
      </c>
    </row>
    <row r="94" spans="1:8" ht="15" customHeight="1" x14ac:dyDescent="0.35">
      <c r="A94" s="18">
        <v>92</v>
      </c>
      <c r="B94" s="19">
        <v>46208</v>
      </c>
      <c r="C94" s="20" t="s">
        <v>137</v>
      </c>
      <c r="D94" s="18"/>
      <c r="E94" s="21" t="s">
        <v>138</v>
      </c>
      <c r="F94" s="21" t="s">
        <v>138</v>
      </c>
      <c r="G94" s="25" t="s">
        <v>150</v>
      </c>
      <c r="H94" s="20" t="s">
        <v>175</v>
      </c>
    </row>
    <row r="95" spans="1:8" ht="15" customHeight="1" x14ac:dyDescent="0.35">
      <c r="A95" s="18">
        <v>93</v>
      </c>
      <c r="B95" s="19">
        <v>46209</v>
      </c>
      <c r="C95" s="20" t="s">
        <v>137</v>
      </c>
      <c r="D95" s="18"/>
      <c r="E95" s="21" t="s">
        <v>138</v>
      </c>
      <c r="F95" s="21" t="s">
        <v>138</v>
      </c>
      <c r="G95" s="25" t="s">
        <v>165</v>
      </c>
      <c r="H95" s="20" t="s">
        <v>151</v>
      </c>
    </row>
    <row r="96" spans="1:8" ht="15" customHeight="1" x14ac:dyDescent="0.35">
      <c r="A96" s="18">
        <v>94</v>
      </c>
      <c r="B96" s="19">
        <v>46209</v>
      </c>
      <c r="C96" s="20" t="s">
        <v>137</v>
      </c>
      <c r="D96" s="18"/>
      <c r="E96" s="21" t="s">
        <v>138</v>
      </c>
      <c r="F96" s="21" t="s">
        <v>138</v>
      </c>
      <c r="G96" s="25" t="s">
        <v>172</v>
      </c>
      <c r="H96" s="20" t="s">
        <v>175</v>
      </c>
    </row>
    <row r="97" spans="1:8" ht="15" customHeight="1" x14ac:dyDescent="0.35">
      <c r="A97" s="18">
        <v>95</v>
      </c>
      <c r="B97" s="19">
        <v>46210</v>
      </c>
      <c r="C97" s="20" t="s">
        <v>137</v>
      </c>
      <c r="D97" s="18"/>
      <c r="E97" s="21" t="s">
        <v>138</v>
      </c>
      <c r="F97" s="21" t="s">
        <v>138</v>
      </c>
      <c r="G97" s="25" t="s">
        <v>170</v>
      </c>
      <c r="H97" s="20" t="s">
        <v>171</v>
      </c>
    </row>
    <row r="98" spans="1:8" ht="15" customHeight="1" x14ac:dyDescent="0.35">
      <c r="A98" s="18">
        <v>96</v>
      </c>
      <c r="B98" s="19">
        <v>46210</v>
      </c>
      <c r="C98" s="20" t="s">
        <v>137</v>
      </c>
      <c r="D98" s="18"/>
      <c r="E98" s="21" t="s">
        <v>138</v>
      </c>
      <c r="F98" s="21" t="s">
        <v>138</v>
      </c>
      <c r="G98" s="25" t="s">
        <v>161</v>
      </c>
      <c r="H98" s="20" t="s">
        <v>166</v>
      </c>
    </row>
    <row r="99" spans="1:8" ht="15" customHeight="1" x14ac:dyDescent="0.35">
      <c r="A99" s="18">
        <v>97</v>
      </c>
      <c r="B99" s="19">
        <v>46212</v>
      </c>
      <c r="C99" s="20" t="s">
        <v>139</v>
      </c>
      <c r="D99" s="18"/>
      <c r="E99" s="21" t="s">
        <v>138</v>
      </c>
      <c r="F99" s="21" t="s">
        <v>138</v>
      </c>
      <c r="G99" s="25" t="s">
        <v>160</v>
      </c>
      <c r="H99" s="20" t="s">
        <v>166</v>
      </c>
    </row>
    <row r="100" spans="1:8" ht="15" customHeight="1" x14ac:dyDescent="0.35">
      <c r="A100" s="18">
        <v>98</v>
      </c>
      <c r="B100" s="19">
        <v>46213</v>
      </c>
      <c r="C100" s="20" t="s">
        <v>139</v>
      </c>
      <c r="D100" s="18"/>
      <c r="E100" s="21" t="s">
        <v>138</v>
      </c>
      <c r="F100" s="21" t="s">
        <v>138</v>
      </c>
      <c r="G100" s="25" t="s">
        <v>155</v>
      </c>
      <c r="H100" s="20" t="s">
        <v>151</v>
      </c>
    </row>
    <row r="101" spans="1:8" ht="15" customHeight="1" x14ac:dyDescent="0.35">
      <c r="A101" s="18">
        <v>99</v>
      </c>
      <c r="B101" s="19">
        <v>46214</v>
      </c>
      <c r="C101" s="20" t="s">
        <v>139</v>
      </c>
      <c r="D101" s="18"/>
      <c r="E101" s="21" t="s">
        <v>138</v>
      </c>
      <c r="F101" s="21" t="s">
        <v>138</v>
      </c>
      <c r="G101" s="25" t="s">
        <v>173</v>
      </c>
      <c r="H101" s="20" t="s">
        <v>176</v>
      </c>
    </row>
    <row r="102" spans="1:8" ht="15" customHeight="1" x14ac:dyDescent="0.35">
      <c r="A102" s="18">
        <v>100</v>
      </c>
      <c r="B102" s="19">
        <v>46214</v>
      </c>
      <c r="C102" s="20" t="s">
        <v>139</v>
      </c>
      <c r="D102" s="18"/>
      <c r="E102" s="21" t="s">
        <v>138</v>
      </c>
      <c r="F102" s="21" t="s">
        <v>138</v>
      </c>
      <c r="G102" s="25" t="s">
        <v>174</v>
      </c>
      <c r="H102" s="20" t="s">
        <v>156</v>
      </c>
    </row>
    <row r="103" spans="1:8" ht="15" customHeight="1" x14ac:dyDescent="0.35">
      <c r="A103" s="18">
        <v>101</v>
      </c>
      <c r="B103" s="19">
        <v>46217</v>
      </c>
      <c r="C103" s="20" t="s">
        <v>140</v>
      </c>
      <c r="D103" s="18"/>
      <c r="E103" s="21" t="s">
        <v>138</v>
      </c>
      <c r="F103" s="21" t="s">
        <v>138</v>
      </c>
      <c r="G103" s="25" t="s">
        <v>165</v>
      </c>
      <c r="H103" s="20" t="s">
        <v>151</v>
      </c>
    </row>
    <row r="104" spans="1:8" ht="15" customHeight="1" x14ac:dyDescent="0.35">
      <c r="A104" s="18">
        <v>102</v>
      </c>
      <c r="B104" s="19">
        <v>46218</v>
      </c>
      <c r="C104" s="20" t="s">
        <v>140</v>
      </c>
      <c r="D104" s="18"/>
      <c r="E104" s="21" t="s">
        <v>138</v>
      </c>
      <c r="F104" s="21" t="s">
        <v>138</v>
      </c>
      <c r="G104" s="25" t="s">
        <v>170</v>
      </c>
      <c r="H104" s="20" t="s">
        <v>151</v>
      </c>
    </row>
    <row r="105" spans="1:8" ht="15" customHeight="1" x14ac:dyDescent="0.35">
      <c r="A105" s="18">
        <v>103</v>
      </c>
      <c r="B105" s="19">
        <v>46221</v>
      </c>
      <c r="C105" s="20" t="s">
        <v>141</v>
      </c>
      <c r="D105" s="18"/>
      <c r="E105" s="21" t="s">
        <v>142</v>
      </c>
      <c r="F105" s="21" t="s">
        <v>143</v>
      </c>
      <c r="G105" s="25" t="s">
        <v>173</v>
      </c>
      <c r="H105" s="20" t="s">
        <v>176</v>
      </c>
    </row>
    <row r="106" spans="1:8" ht="15" customHeight="1" x14ac:dyDescent="0.35">
      <c r="A106" s="18">
        <v>104</v>
      </c>
      <c r="B106" s="19">
        <v>46222</v>
      </c>
      <c r="C106" s="20" t="s">
        <v>144</v>
      </c>
      <c r="D106" s="18"/>
      <c r="E106" s="21" t="s">
        <v>145</v>
      </c>
      <c r="F106" s="21" t="s">
        <v>146</v>
      </c>
      <c r="G106" s="25" t="s">
        <v>158</v>
      </c>
      <c r="H106" s="20" t="s">
        <v>151</v>
      </c>
    </row>
  </sheetData>
  <mergeCells count="1">
    <mergeCell ref="A1:H1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7"/>
  <sheetViews>
    <sheetView showGridLines="0" zoomScaleNormal="100" workbookViewId="0"/>
  </sheetViews>
  <sheetFormatPr defaultColWidth="8.6328125" defaultRowHeight="14.5" x14ac:dyDescent="0.35"/>
  <cols>
    <col min="1" max="1" width="12" customWidth="1"/>
    <col min="2" max="7" width="14" customWidth="1"/>
    <col min="8" max="11" width="7" customWidth="1"/>
  </cols>
  <sheetData>
    <row r="1" spans="1:11" ht="25.5" customHeight="1" x14ac:dyDescent="0.35">
      <c r="A1" s="48" t="s">
        <v>182</v>
      </c>
      <c r="B1" s="49"/>
      <c r="C1" s="49"/>
      <c r="D1" s="49"/>
      <c r="E1" s="49"/>
      <c r="F1" s="49"/>
      <c r="G1" s="49"/>
      <c r="H1" s="49"/>
      <c r="I1" s="49"/>
      <c r="J1" s="49"/>
      <c r="K1" s="49"/>
    </row>
    <row r="3" spans="1:11" ht="15" customHeight="1" x14ac:dyDescent="0.35">
      <c r="B3" s="26" t="s">
        <v>183</v>
      </c>
    </row>
    <row r="4" spans="1:11" ht="15" customHeight="1" x14ac:dyDescent="0.35">
      <c r="B4" s="27" t="s">
        <v>184</v>
      </c>
      <c r="C4" s="28"/>
    </row>
    <row r="5" spans="1:11" ht="15" customHeight="1" x14ac:dyDescent="0.35">
      <c r="B5" s="27" t="s">
        <v>185</v>
      </c>
      <c r="C5" s="28"/>
    </row>
    <row r="6" spans="1:11" ht="15" customHeight="1" x14ac:dyDescent="0.35">
      <c r="B6" s="27" t="s">
        <v>186</v>
      </c>
      <c r="C6" s="28"/>
      <c r="D6" s="28"/>
      <c r="E6" s="28"/>
      <c r="F6" s="28"/>
    </row>
    <row r="8" spans="1:11" ht="21.75" customHeight="1" x14ac:dyDescent="0.35">
      <c r="A8" s="29" t="s">
        <v>187</v>
      </c>
      <c r="B8" s="29" t="s">
        <v>184</v>
      </c>
      <c r="C8" s="29" t="s">
        <v>185</v>
      </c>
      <c r="D8" s="29" t="s">
        <v>188</v>
      </c>
      <c r="E8" s="29" t="s">
        <v>189</v>
      </c>
      <c r="F8" s="29" t="s">
        <v>190</v>
      </c>
      <c r="G8" s="29" t="s">
        <v>191</v>
      </c>
      <c r="H8" s="30" t="s">
        <v>192</v>
      </c>
      <c r="I8" s="30" t="s">
        <v>193</v>
      </c>
      <c r="J8" s="30" t="s">
        <v>194</v>
      </c>
      <c r="K8" s="30" t="s">
        <v>195</v>
      </c>
    </row>
    <row r="9" spans="1:11" ht="15" customHeight="1" x14ac:dyDescent="0.35">
      <c r="A9" s="31" t="str">
        <f>'Match Predictions'!I2</f>
        <v>Ewan</v>
      </c>
      <c r="B9" s="32" t="s">
        <v>76</v>
      </c>
      <c r="C9" s="32"/>
      <c r="D9" s="32"/>
      <c r="E9" s="32"/>
      <c r="F9" s="32"/>
      <c r="G9" s="32"/>
      <c r="H9" s="33">
        <f t="shared" ref="H9:H17" si="0">IF(AND(B9&lt;&gt;"",B9=$C$4),25,0)</f>
        <v>0</v>
      </c>
      <c r="I9" s="33">
        <f t="shared" ref="I9:I17" si="1">IF(AND(C9&lt;&gt;"",C9=$C$5),15,0)</f>
        <v>0</v>
      </c>
      <c r="J9" s="33">
        <f t="shared" ref="J9:J17" si="2">IF(AND(D9&lt;&gt;"",COUNTIF($C$6:$F$6,D9)&gt;0),10,0)+IF(AND(E9&lt;&gt;"",COUNTIF($C$6:$F$6,E9)&gt;0),10,0)+IF(AND(F9&lt;&gt;"",COUNTIF($C$6:$F$6,F9)&gt;0),10,0)+IF(AND(G9&lt;&gt;"",COUNTIF($C$6:$F$6,G9)&gt;0),10,0)</f>
        <v>0</v>
      </c>
      <c r="K9" s="12">
        <f t="shared" ref="K9:K17" si="3">SUM(H9:J9)</f>
        <v>0</v>
      </c>
    </row>
    <row r="10" spans="1:11" ht="15" customHeight="1" x14ac:dyDescent="0.35">
      <c r="A10" s="34" t="str">
        <f>'Match Predictions'!L2</f>
        <v>Nana</v>
      </c>
      <c r="B10" s="32" t="s">
        <v>86</v>
      </c>
      <c r="C10" s="32"/>
      <c r="D10" s="32"/>
      <c r="E10" s="32"/>
      <c r="F10" s="32"/>
      <c r="G10" s="32"/>
      <c r="H10" s="35">
        <f t="shared" si="0"/>
        <v>0</v>
      </c>
      <c r="I10" s="35">
        <f t="shared" si="1"/>
        <v>0</v>
      </c>
      <c r="J10" s="35">
        <f t="shared" si="2"/>
        <v>0</v>
      </c>
      <c r="K10" s="17">
        <f t="shared" si="3"/>
        <v>0</v>
      </c>
    </row>
    <row r="11" spans="1:11" ht="15" customHeight="1" x14ac:dyDescent="0.35">
      <c r="A11" s="31" t="str">
        <f>'Match Predictions'!O2</f>
        <v>Emrys</v>
      </c>
      <c r="B11" s="32"/>
      <c r="C11" s="32"/>
      <c r="D11" s="32"/>
      <c r="E11" s="32"/>
      <c r="F11" s="32"/>
      <c r="G11" s="32"/>
      <c r="H11" s="33">
        <f t="shared" si="0"/>
        <v>0</v>
      </c>
      <c r="I11" s="33">
        <f t="shared" si="1"/>
        <v>0</v>
      </c>
      <c r="J11" s="33">
        <f t="shared" si="2"/>
        <v>0</v>
      </c>
      <c r="K11" s="12">
        <f t="shared" si="3"/>
        <v>0</v>
      </c>
    </row>
    <row r="12" spans="1:11" ht="15" customHeight="1" x14ac:dyDescent="0.35">
      <c r="A12" s="34" t="str">
        <f>'Match Predictions'!R2</f>
        <v>Nonno</v>
      </c>
      <c r="B12" s="32" t="s">
        <v>59</v>
      </c>
      <c r="C12" s="32"/>
      <c r="D12" s="32"/>
      <c r="E12" s="32"/>
      <c r="F12" s="32"/>
      <c r="G12" s="32"/>
      <c r="H12" s="35">
        <f t="shared" si="0"/>
        <v>0</v>
      </c>
      <c r="I12" s="35">
        <f t="shared" si="1"/>
        <v>0</v>
      </c>
      <c r="J12" s="35">
        <f t="shared" si="2"/>
        <v>0</v>
      </c>
      <c r="K12" s="17">
        <f t="shared" si="3"/>
        <v>0</v>
      </c>
    </row>
    <row r="13" spans="1:11" ht="15" customHeight="1" x14ac:dyDescent="0.35">
      <c r="A13" s="31" t="str">
        <f>'Match Predictions'!U2</f>
        <v>Nonna</v>
      </c>
      <c r="B13" s="32"/>
      <c r="C13" s="32"/>
      <c r="D13" s="32"/>
      <c r="E13" s="32"/>
      <c r="F13" s="32"/>
      <c r="G13" s="32"/>
      <c r="H13" s="33">
        <f t="shared" si="0"/>
        <v>0</v>
      </c>
      <c r="I13" s="33">
        <f t="shared" si="1"/>
        <v>0</v>
      </c>
      <c r="J13" s="33">
        <f t="shared" si="2"/>
        <v>0</v>
      </c>
      <c r="K13" s="12">
        <f t="shared" si="3"/>
        <v>0</v>
      </c>
    </row>
    <row r="14" spans="1:11" ht="15" customHeight="1" x14ac:dyDescent="0.35">
      <c r="A14" s="34" t="str">
        <f>'Match Predictions'!X2</f>
        <v>Boompa</v>
      </c>
      <c r="B14" s="32" t="s">
        <v>86</v>
      </c>
      <c r="C14" s="32"/>
      <c r="D14" s="32"/>
      <c r="E14" s="32"/>
      <c r="F14" s="32"/>
      <c r="G14" s="32"/>
      <c r="H14" s="35">
        <f t="shared" si="0"/>
        <v>0</v>
      </c>
      <c r="I14" s="35">
        <f t="shared" si="1"/>
        <v>0</v>
      </c>
      <c r="J14" s="35">
        <f t="shared" si="2"/>
        <v>0</v>
      </c>
      <c r="K14" s="17">
        <f t="shared" si="3"/>
        <v>0</v>
      </c>
    </row>
    <row r="15" spans="1:11" ht="15" customHeight="1" x14ac:dyDescent="0.35">
      <c r="A15" s="31" t="str">
        <f>'Match Predictions'!AA2</f>
        <v>Xavier</v>
      </c>
      <c r="B15" s="32"/>
      <c r="C15" s="32"/>
      <c r="D15" s="32"/>
      <c r="E15" s="32"/>
      <c r="F15" s="32"/>
      <c r="G15" s="32"/>
      <c r="H15" s="33">
        <f t="shared" si="0"/>
        <v>0</v>
      </c>
      <c r="I15" s="33">
        <f t="shared" si="1"/>
        <v>0</v>
      </c>
      <c r="J15" s="33">
        <f t="shared" si="2"/>
        <v>0</v>
      </c>
      <c r="K15" s="12">
        <f t="shared" si="3"/>
        <v>0</v>
      </c>
    </row>
    <row r="16" spans="1:11" ht="15" customHeight="1" x14ac:dyDescent="0.35">
      <c r="A16" s="34" t="str">
        <f>'Match Predictions'!AD2</f>
        <v>Autumn</v>
      </c>
      <c r="B16" s="32"/>
      <c r="C16" s="32"/>
      <c r="D16" s="32"/>
      <c r="E16" s="32"/>
      <c r="F16" s="32"/>
      <c r="G16" s="32"/>
      <c r="H16" s="35">
        <f t="shared" si="0"/>
        <v>0</v>
      </c>
      <c r="I16" s="35">
        <f t="shared" si="1"/>
        <v>0</v>
      </c>
      <c r="J16" s="35">
        <f t="shared" si="2"/>
        <v>0</v>
      </c>
      <c r="K16" s="17">
        <f t="shared" si="3"/>
        <v>0</v>
      </c>
    </row>
    <row r="17" spans="1:11" x14ac:dyDescent="0.35">
      <c r="A17" s="34" t="str">
        <f>'Match Predictions'!AG2</f>
        <v>River</v>
      </c>
      <c r="B17" s="32"/>
      <c r="C17" s="32"/>
      <c r="D17" s="32"/>
      <c r="E17" s="32"/>
      <c r="F17" s="32"/>
      <c r="G17" s="32"/>
      <c r="H17" s="35">
        <f t="shared" si="0"/>
        <v>0</v>
      </c>
      <c r="I17" s="35">
        <f t="shared" si="1"/>
        <v>0</v>
      </c>
      <c r="J17" s="35">
        <f t="shared" si="2"/>
        <v>0</v>
      </c>
      <c r="K17" s="17">
        <f t="shared" si="3"/>
        <v>0</v>
      </c>
    </row>
  </sheetData>
  <mergeCells count="1"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I12"/>
  <sheetViews>
    <sheetView showGridLines="0" zoomScaleNormal="100" workbookViewId="0"/>
  </sheetViews>
  <sheetFormatPr defaultColWidth="8.6328125" defaultRowHeight="14.5" x14ac:dyDescent="0.35"/>
  <cols>
    <col min="1" max="1" width="6" customWidth="1"/>
    <col min="2" max="2" width="12" customWidth="1"/>
    <col min="3" max="8" width="11" customWidth="1"/>
    <col min="9" max="9" width="15" customWidth="1"/>
  </cols>
  <sheetData>
    <row r="1" spans="1:9" ht="30" customHeight="1" x14ac:dyDescent="0.35">
      <c r="A1" s="51" t="s">
        <v>196</v>
      </c>
      <c r="B1" s="49"/>
      <c r="C1" s="49"/>
      <c r="D1" s="49"/>
      <c r="E1" s="49"/>
      <c r="F1" s="49"/>
      <c r="G1" s="49"/>
      <c r="H1" s="49"/>
      <c r="I1" s="49"/>
    </row>
    <row r="2" spans="1:9" ht="15" customHeight="1" x14ac:dyDescent="0.35">
      <c r="A2" s="36" t="s">
        <v>197</v>
      </c>
    </row>
    <row r="3" spans="1:9" ht="24" customHeight="1" x14ac:dyDescent="0.35">
      <c r="A3" s="29" t="s">
        <v>198</v>
      </c>
      <c r="B3" s="29" t="s">
        <v>187</v>
      </c>
      <c r="C3" s="29" t="s">
        <v>199</v>
      </c>
      <c r="D3" s="29" t="s">
        <v>200</v>
      </c>
      <c r="E3" s="30" t="s">
        <v>201</v>
      </c>
      <c r="F3" s="29" t="s">
        <v>202</v>
      </c>
      <c r="G3" s="29" t="s">
        <v>203</v>
      </c>
      <c r="H3" s="29" t="s">
        <v>204</v>
      </c>
      <c r="I3" s="29" t="s">
        <v>205</v>
      </c>
    </row>
    <row r="4" spans="1:9" ht="15" customHeight="1" x14ac:dyDescent="0.35">
      <c r="A4" s="37">
        <f t="shared" ref="A4:A12" si="0">RANK(E4,$E$4:$E$12)</f>
        <v>2</v>
      </c>
      <c r="B4" s="31" t="str">
        <f>'Match Predictions'!I2</f>
        <v>Ewan</v>
      </c>
      <c r="C4" s="33">
        <f>'Tournament Picks'!K9</f>
        <v>0</v>
      </c>
      <c r="D4" s="33">
        <f>SUM('Match Predictions'!K4:K107)</f>
        <v>14</v>
      </c>
      <c r="E4" s="38">
        <f t="shared" ref="E4:E12" si="1">C4+D4</f>
        <v>14</v>
      </c>
      <c r="F4" s="33">
        <f>COUNTIF('Match Predictions'!K4:K107,8)</f>
        <v>1</v>
      </c>
      <c r="G4" s="33">
        <f>COUNTIF('Match Predictions'!K4:K107,"&gt;=3")</f>
        <v>3</v>
      </c>
      <c r="H4" s="39">
        <f>IF(SUMPRODUCT(('Match Predictions'!I4:I107&lt;&gt;"")*('Match Predictions'!$G$4:$G$107&lt;&gt;""))=0,"",G4/SUMPRODUCT(('Match Predictions'!I4:I107&lt;&gt;"")*('Match Predictions'!$G$4:$G$107&lt;&gt;"")))</f>
        <v>0.75</v>
      </c>
      <c r="I4" s="10" t="str">
        <f>'Tournament Picks'!B9</f>
        <v>Spain</v>
      </c>
    </row>
    <row r="5" spans="1:9" ht="15" customHeight="1" x14ac:dyDescent="0.35">
      <c r="A5" s="40">
        <f t="shared" si="0"/>
        <v>2</v>
      </c>
      <c r="B5" s="27" t="str">
        <f>'Match Predictions'!L2</f>
        <v>Nana</v>
      </c>
      <c r="C5" s="41">
        <f>'Tournament Picks'!K10</f>
        <v>0</v>
      </c>
      <c r="D5" s="41">
        <f>SUM('Match Predictions'!N4:N107)</f>
        <v>14</v>
      </c>
      <c r="E5" s="42">
        <f t="shared" si="1"/>
        <v>14</v>
      </c>
      <c r="F5" s="41">
        <f>COUNTIF('Match Predictions'!N4:N107,8)</f>
        <v>1</v>
      </c>
      <c r="G5" s="41">
        <f>COUNTIF('Match Predictions'!N4:N107,"&gt;=3")</f>
        <v>3</v>
      </c>
      <c r="H5" s="43">
        <f>IF(SUMPRODUCT(('Match Predictions'!L4:L107&lt;&gt;"")*('Match Predictions'!$G$4:$G$107&lt;&gt;""))=0,"",G5/SUMPRODUCT(('Match Predictions'!L4:L107&lt;&gt;"")*('Match Predictions'!$G$4:$G$107&lt;&gt;"")))</f>
        <v>0.75</v>
      </c>
      <c r="I5" s="44" t="str">
        <f>'Tournament Picks'!B10</f>
        <v>France</v>
      </c>
    </row>
    <row r="6" spans="1:9" ht="15" customHeight="1" x14ac:dyDescent="0.35">
      <c r="A6" s="37">
        <f t="shared" si="0"/>
        <v>6</v>
      </c>
      <c r="B6" s="31" t="str">
        <f>'Match Predictions'!O2</f>
        <v>Emrys</v>
      </c>
      <c r="C6" s="33">
        <f>'Tournament Picks'!K11</f>
        <v>0</v>
      </c>
      <c r="D6" s="33">
        <f>SUM('Match Predictions'!Q4:Q107)</f>
        <v>9</v>
      </c>
      <c r="E6" s="38">
        <f t="shared" si="1"/>
        <v>9</v>
      </c>
      <c r="F6" s="33">
        <f>COUNTIF('Match Predictions'!Q4:Q107,8)</f>
        <v>0</v>
      </c>
      <c r="G6" s="33">
        <f>COUNTIF('Match Predictions'!Q4:Q107,"&gt;=3")</f>
        <v>3</v>
      </c>
      <c r="H6" s="39">
        <f>IF(SUMPRODUCT(('Match Predictions'!O4:O107&lt;&gt;"")*('Match Predictions'!$G$4:$G$107&lt;&gt;""))=0,"",G6/SUMPRODUCT(('Match Predictions'!O4:O107&lt;&gt;"")*('Match Predictions'!$G$4:$G$107&lt;&gt;"")))</f>
        <v>0.75</v>
      </c>
      <c r="I6" s="10">
        <f>'Tournament Picks'!B11</f>
        <v>0</v>
      </c>
    </row>
    <row r="7" spans="1:9" ht="15" customHeight="1" x14ac:dyDescent="0.35">
      <c r="A7" s="40">
        <f t="shared" si="0"/>
        <v>2</v>
      </c>
      <c r="B7" s="27" t="str">
        <f>'Match Predictions'!R2</f>
        <v>Nonno</v>
      </c>
      <c r="C7" s="41">
        <f>'Tournament Picks'!K12</f>
        <v>0</v>
      </c>
      <c r="D7" s="41">
        <f>SUM('Match Predictions'!T4:T107)</f>
        <v>14</v>
      </c>
      <c r="E7" s="42">
        <f t="shared" si="1"/>
        <v>14</v>
      </c>
      <c r="F7" s="41">
        <f>COUNTIF('Match Predictions'!T4:T107,8)</f>
        <v>1</v>
      </c>
      <c r="G7" s="41">
        <f>COUNTIF('Match Predictions'!T4:T107,"&gt;=3")</f>
        <v>3</v>
      </c>
      <c r="H7" s="43">
        <f>IF(SUMPRODUCT(('Match Predictions'!R4:R107&lt;&gt;"")*('Match Predictions'!$G$4:$G$107&lt;&gt;""))=0,"",G7/SUMPRODUCT(('Match Predictions'!R4:R107&lt;&gt;"")*('Match Predictions'!$G$4:$G$107&lt;&gt;"")))</f>
        <v>0.75</v>
      </c>
      <c r="I7" s="44" t="str">
        <f>'Tournament Picks'!B12</f>
        <v>Brazil</v>
      </c>
    </row>
    <row r="8" spans="1:9" ht="15" customHeight="1" x14ac:dyDescent="0.35">
      <c r="A8" s="37">
        <f t="shared" si="0"/>
        <v>5</v>
      </c>
      <c r="B8" s="31" t="str">
        <f>'Match Predictions'!U2</f>
        <v>Nonna</v>
      </c>
      <c r="C8" s="33">
        <f>'Tournament Picks'!K13</f>
        <v>0</v>
      </c>
      <c r="D8" s="33">
        <f>SUM('Match Predictions'!W4:W107)</f>
        <v>11</v>
      </c>
      <c r="E8" s="38">
        <f t="shared" si="1"/>
        <v>11</v>
      </c>
      <c r="F8" s="33">
        <f>COUNTIF('Match Predictions'!W4:W107,8)</f>
        <v>1</v>
      </c>
      <c r="G8" s="33">
        <f>COUNTIF('Match Predictions'!W4:W107,"&gt;=3")</f>
        <v>2</v>
      </c>
      <c r="H8" s="39">
        <f>IF(SUMPRODUCT(('Match Predictions'!U4:U107&lt;&gt;"")*('Match Predictions'!$G$4:$G$107&lt;&gt;""))=0,"",G8/SUMPRODUCT(('Match Predictions'!U4:U107&lt;&gt;"")*('Match Predictions'!$G$4:$G$107&lt;&gt;"")))</f>
        <v>0.66666666666666663</v>
      </c>
      <c r="I8" s="10">
        <f>'Tournament Picks'!B13</f>
        <v>0</v>
      </c>
    </row>
    <row r="9" spans="1:9" ht="15" customHeight="1" x14ac:dyDescent="0.35">
      <c r="A9" s="40">
        <f t="shared" si="0"/>
        <v>9</v>
      </c>
      <c r="B9" s="27" t="str">
        <f>'Match Predictions'!X2</f>
        <v>Boompa</v>
      </c>
      <c r="C9" s="41">
        <f>'Tournament Picks'!K14</f>
        <v>0</v>
      </c>
      <c r="D9" s="41">
        <f>SUM('Match Predictions'!Z4:Z107)</f>
        <v>0</v>
      </c>
      <c r="E9" s="42">
        <f t="shared" si="1"/>
        <v>0</v>
      </c>
      <c r="F9" s="41">
        <f>COUNTIF('Match Predictions'!Z4:Z107,8)</f>
        <v>0</v>
      </c>
      <c r="G9" s="41">
        <f>COUNTIF('Match Predictions'!Z4:Z107,"&gt;=3")</f>
        <v>0</v>
      </c>
      <c r="H9" s="43">
        <f>IF(SUMPRODUCT(('Match Predictions'!X4:X107&lt;&gt;"")*('Match Predictions'!$G$4:$G$107&lt;&gt;""))=0,"",G9/SUMPRODUCT(('Match Predictions'!X4:X107&lt;&gt;"")*('Match Predictions'!$G$4:$G$107&lt;&gt;"")))</f>
        <v>0</v>
      </c>
      <c r="I9" s="44" t="str">
        <f>'Tournament Picks'!B14</f>
        <v>France</v>
      </c>
    </row>
    <row r="10" spans="1:9" ht="15" customHeight="1" x14ac:dyDescent="0.35">
      <c r="A10" s="37">
        <f t="shared" si="0"/>
        <v>1</v>
      </c>
      <c r="B10" s="31" t="str">
        <f>'Match Predictions'!AA2</f>
        <v>Xavier</v>
      </c>
      <c r="C10" s="33">
        <f>'Tournament Picks'!K15</f>
        <v>0</v>
      </c>
      <c r="D10" s="33">
        <f>SUM('Match Predictions'!AC4:AC107)</f>
        <v>27</v>
      </c>
      <c r="E10" s="38">
        <f t="shared" si="1"/>
        <v>27</v>
      </c>
      <c r="F10" s="33">
        <f>COUNTIF('Match Predictions'!AC4:AC107,8)</f>
        <v>3</v>
      </c>
      <c r="G10" s="33">
        <f>COUNTIF('Match Predictions'!AC4:AC107,"&gt;=3")</f>
        <v>4</v>
      </c>
      <c r="H10" s="39">
        <f>IF(SUMPRODUCT(('Match Predictions'!AA4:AA107&lt;&gt;"")*('Match Predictions'!$G$4:$G$107&lt;&gt;""))=0,"",G10/SUMPRODUCT(('Match Predictions'!AA4:AA107&lt;&gt;"")*('Match Predictions'!$G$4:$G$107&lt;&gt;"")))</f>
        <v>1</v>
      </c>
      <c r="I10" s="10">
        <f>'Tournament Picks'!B15</f>
        <v>0</v>
      </c>
    </row>
    <row r="11" spans="1:9" ht="15" customHeight="1" x14ac:dyDescent="0.35">
      <c r="A11" s="40">
        <f t="shared" si="0"/>
        <v>7</v>
      </c>
      <c r="B11" s="27" t="str">
        <f>'Match Predictions'!AD2</f>
        <v>Autumn</v>
      </c>
      <c r="C11" s="41">
        <f>'Tournament Picks'!K16</f>
        <v>0</v>
      </c>
      <c r="D11" s="41">
        <f>SUM('Match Predictions'!AF4:AF107)</f>
        <v>8</v>
      </c>
      <c r="E11" s="42">
        <f t="shared" si="1"/>
        <v>8</v>
      </c>
      <c r="F11" s="41">
        <f>COUNTIF('Match Predictions'!AF4:AF107,8)</f>
        <v>1</v>
      </c>
      <c r="G11" s="41">
        <f>COUNTIF('Match Predictions'!AF4:AF107,"&gt;=3")</f>
        <v>1</v>
      </c>
      <c r="H11" s="43">
        <f>IF(SUMPRODUCT(('Match Predictions'!AD4:AD107&lt;&gt;"")*('Match Predictions'!$G$4:$G$107&lt;&gt;""))=0,"",G11/SUMPRODUCT(('Match Predictions'!AD4:AD107&lt;&gt;"")*('Match Predictions'!$G$4:$G$107&lt;&gt;"")))</f>
        <v>0.25</v>
      </c>
      <c r="I11" s="44">
        <f>'Tournament Picks'!B16</f>
        <v>0</v>
      </c>
    </row>
    <row r="12" spans="1:9" ht="15.5" x14ac:dyDescent="0.35">
      <c r="A12" s="40">
        <f t="shared" si="0"/>
        <v>8</v>
      </c>
      <c r="B12" s="27" t="str">
        <f>'Match Predictions'!AG2</f>
        <v>River</v>
      </c>
      <c r="C12" s="41">
        <f>'Tournament Picks'!K17</f>
        <v>0</v>
      </c>
      <c r="D12" s="41">
        <f>SUM('Match Predictions'!AI4:AI107)</f>
        <v>6</v>
      </c>
      <c r="E12" s="42">
        <f t="shared" si="1"/>
        <v>6</v>
      </c>
      <c r="F12" s="41">
        <f>COUNTIF('Match Predictions'!AI4:AI107,8)</f>
        <v>0</v>
      </c>
      <c r="G12" s="41">
        <f>COUNTIF('Match Predictions'!AI4:AI107,"&gt;=3")</f>
        <v>2</v>
      </c>
      <c r="H12" s="43">
        <f>IF(SUMPRODUCT(('Match Predictions'!AG4:AG107&lt;&gt;"")*('Match Predictions'!$G$4:$G$107&lt;&gt;""))=0,"",G12/SUMPRODUCT(('Match Predictions'!AG4:AG107&lt;&gt;"")*('Match Predictions'!$G$4:$G$107&lt;&gt;"")))</f>
        <v>0.5</v>
      </c>
      <c r="I12" s="44">
        <f>'Tournament Picks'!B17</f>
        <v>0</v>
      </c>
    </row>
  </sheetData>
  <mergeCells count="1">
    <mergeCell ref="A1:I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How to Use</vt:lpstr>
      <vt:lpstr>Match Predictions</vt:lpstr>
      <vt:lpstr>Schedule</vt:lpstr>
      <vt:lpstr>Tournament Picks</vt:lpstr>
      <vt:lpstr>Leaderboard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Marco Bartoloni</cp:lastModifiedBy>
  <cp:revision>0</cp:revision>
  <dcterms:created xsi:type="dcterms:W3CDTF">2026-06-11T00:34:28Z</dcterms:created>
  <dcterms:modified xsi:type="dcterms:W3CDTF">2026-06-29T00:22:37Z</dcterms:modified>
  <dc:language>en-US</dc:language>
</cp:coreProperties>
</file>