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w to Use" sheetId="1" state="visible" r:id="rId3"/>
    <sheet name="Match Predictions" sheetId="2" state="visible" r:id="rId4"/>
    <sheet name="Schedule" sheetId="3" state="visible" r:id="rId5"/>
    <sheet name="Tournament Picks" sheetId="4" state="visible" r:id="rId6"/>
    <sheet name="Leader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<sst xmlns="http://schemas.openxmlformats.org/spreadsheetml/2006/main" count="1087" uniqueCount="207">
  <si>
    <t xml:space="preserve">🏆  FAMILY WORLD CUP CHALLENGE 2026 — Scoring Sheet</t>
  </si>
  <si>
    <t xml:space="preserve">HOW THIS WORKS</t>
  </si>
  <si>
    <t xml:space="preserve">Picks come in through the family group chat — you just transcribe them here, and everything scores automatically.</t>
  </si>
  <si>
    <t xml:space="preserve">Yellow cells are the only ones you ever type in. Everything else is calculated.</t>
  </si>
  <si>
    <t xml:space="preserve">THE TABS</t>
  </si>
  <si>
    <t xml:space="preserve">1.  Match Predictions  —  all 104 fixtures are pre-loaded (date, stage, group, teams). Type each person’s</t>
  </si>
  <si>
    <t xml:space="preserve">      predicted score, then the actual final score in the two ACTUAL columns. Points fill in for everyone instantly.</t>
  </si>
  <si>
    <t xml:space="preserve">2.  Schedule  —  the full fixture list with venues and kickoff times (ET). Handy for the “make your picks” posts.</t>
  </si>
  <si>
    <t xml:space="preserve">3.  Tournament Picks  —  each person’s Champion / Runner-Up / 4 Semifinalists. Fill ACTUAL RESULTS up top</t>
  </si>
  <si>
    <t xml:space="preserve">      as the tournament reaches those stages.</t>
  </si>
  <si>
    <t xml:space="preserve">4.  Leaderboard  —  fully automatic: totals, ranking, exact-score count, accuracy. Glance and post to the chat.</t>
  </si>
  <si>
    <t xml:space="preserve">SCORING (per match)</t>
  </si>
  <si>
    <t xml:space="preserve">Correct result (winner or draw) = 3 points.   Exact score = 8 points (3 + 5 bonus).   Wrong = 0.</t>
  </si>
  <si>
    <t xml:space="preserve">A correct draw scores the same way: right outcome 1–1 vs actual 2–2 = 3; exact 1–1 = 8.</t>
  </si>
  <si>
    <t xml:space="preserve">Knockout rows are shaded. Enter the score at the end of regulation (90 + stoppage) — extra time / penalties don’t count.</t>
  </si>
  <si>
    <t xml:space="preserve">SCORING (pre-tournament)</t>
  </si>
  <si>
    <t xml:space="preserve">Champion = 25.   Runner-Up = 15.   Each correct Semifinalist = 10 (4 of them, max 40).   Max total = 80.</t>
  </si>
  <si>
    <t xml:space="preserve">Pre-tournament picks (Champion / Runner-Up / Semifinalists) stay OPEN through the group stage and LOCK at the first knockout kickoff — Round of 32, Sat Jun 28, 3:00 PM ET. After that they are final.</t>
  </si>
  <si>
    <t xml:space="preserve">NOTES</t>
  </si>
  <si>
    <t xml:space="preserve">Knockout fixtures show bracket slots (e.g. “Group A 2nd Place”) until the real teams are known — update the team</t>
  </si>
  <si>
    <t xml:space="preserve">names on the Match Predictions and Schedule tabs once each round is set.</t>
  </si>
  <si>
    <t xml:space="preserve">Rename or add players in the green name headers on Match Predictions; names flow to the other tabs automatically.</t>
  </si>
  <si>
    <t xml:space="preserve">🏆  MATCH PREDICTIONS  —  type each pick, then the actual score. Points are automatic.</t>
  </si>
  <si>
    <t xml:space="preserve">MATCH  ·  ACTUAL RESULT</t>
  </si>
  <si>
    <t xml:space="preserve">Ewan</t>
  </si>
  <si>
    <t xml:space="preserve">Nana</t>
  </si>
  <si>
    <t xml:space="preserve">Emrys</t>
  </si>
  <si>
    <t xml:space="preserve">Nonno</t>
  </si>
  <si>
    <t xml:space="preserve">Nonna</t>
  </si>
  <si>
    <t xml:space="preserve">Boompa</t>
  </si>
  <si>
    <t xml:space="preserve">Xavier</t>
  </si>
  <si>
    <t xml:space="preserve">Autumn</t>
  </si>
  <si>
    <t xml:space="preserve">River</t>
  </si>
  <si>
    <t xml:space="preserve">Match #</t>
  </si>
  <si>
    <t xml:space="preserve">Date</t>
  </si>
  <si>
    <t xml:space="preserve">Stage</t>
  </si>
  <si>
    <t xml:space="preserve">Group</t>
  </si>
  <si>
    <t xml:space="preserve">Home</t>
  </si>
  <si>
    <t xml:space="preserve">Away</t>
  </si>
  <si>
    <t xml:space="preserve">Act H</t>
  </si>
  <si>
    <t xml:space="preserve">Act A</t>
  </si>
  <si>
    <t xml:space="preserve">Pred H</t>
  </si>
  <si>
    <t xml:space="preserve">Pred A</t>
  </si>
  <si>
    <t xml:space="preserve">Pts</t>
  </si>
  <si>
    <t xml:space="preserve">Advancing (H/A)</t>
  </si>
  <si>
    <t xml:space="preserve">Group Stage</t>
  </si>
  <si>
    <t xml:space="preserve">A</t>
  </si>
  <si>
    <t xml:space="preserve">Mexico</t>
  </si>
  <si>
    <t xml:space="preserve">South Africa</t>
  </si>
  <si>
    <t xml:space="preserve">South Korea</t>
  </si>
  <si>
    <t xml:space="preserve">Czechia</t>
  </si>
  <si>
    <t xml:space="preserve">B</t>
  </si>
  <si>
    <t xml:space="preserve">Canada</t>
  </si>
  <si>
    <t xml:space="preserve">Bosnia and Herzegovina</t>
  </si>
  <si>
    <t xml:space="preserve">D</t>
  </si>
  <si>
    <t xml:space="preserve">USA</t>
  </si>
  <si>
    <t xml:space="preserve">Paraguay</t>
  </si>
  <si>
    <t xml:space="preserve">Qatar</t>
  </si>
  <si>
    <t xml:space="preserve">Switzerland</t>
  </si>
  <si>
    <t xml:space="preserve">C</t>
  </si>
  <si>
    <t xml:space="preserve">Brazil</t>
  </si>
  <si>
    <t xml:space="preserve">Morocco</t>
  </si>
  <si>
    <t xml:space="preserve">Haiti</t>
  </si>
  <si>
    <t xml:space="preserve">Scotland</t>
  </si>
  <si>
    <t xml:space="preserve">Australia</t>
  </si>
  <si>
    <t xml:space="preserve">Türkiye</t>
  </si>
  <si>
    <t xml:space="preserve">E</t>
  </si>
  <si>
    <t xml:space="preserve">Germany</t>
  </si>
  <si>
    <t xml:space="preserve">Curaçao</t>
  </si>
  <si>
    <t xml:space="preserve">F</t>
  </si>
  <si>
    <t xml:space="preserve">Netherlands</t>
  </si>
  <si>
    <t xml:space="preserve">Japan</t>
  </si>
  <si>
    <t xml:space="preserve">Ivory Coast</t>
  </si>
  <si>
    <t xml:space="preserve">Ecuador</t>
  </si>
  <si>
    <t xml:space="preserve">Tunisia</t>
  </si>
  <si>
    <t xml:space="preserve">Sweden</t>
  </si>
  <si>
    <t xml:space="preserve">H</t>
  </si>
  <si>
    <t xml:space="preserve">Spain</t>
  </si>
  <si>
    <t xml:space="preserve">Cape Verde</t>
  </si>
  <si>
    <t xml:space="preserve">G</t>
  </si>
  <si>
    <t xml:space="preserve">Belgium</t>
  </si>
  <si>
    <t xml:space="preserve">Egypt</t>
  </si>
  <si>
    <t xml:space="preserve">Saudi Arabia</t>
  </si>
  <si>
    <t xml:space="preserve">Uruguay</t>
  </si>
  <si>
    <t xml:space="preserve">Iran</t>
  </si>
  <si>
    <t xml:space="preserve">New Zealand</t>
  </si>
  <si>
    <t xml:space="preserve">I</t>
  </si>
  <si>
    <t xml:space="preserve">France</t>
  </si>
  <si>
    <t xml:space="preserve">Senegal</t>
  </si>
  <si>
    <t xml:space="preserve">Iraq</t>
  </si>
  <si>
    <t xml:space="preserve">Norway</t>
  </si>
  <si>
    <t xml:space="preserve">J</t>
  </si>
  <si>
    <t xml:space="preserve">Argentina</t>
  </si>
  <si>
    <t xml:space="preserve">Algeria</t>
  </si>
  <si>
    <t xml:space="preserve">Austria</t>
  </si>
  <si>
    <t xml:space="preserve">Jordan</t>
  </si>
  <si>
    <t xml:space="preserve">K</t>
  </si>
  <si>
    <t xml:space="preserve">Portugal</t>
  </si>
  <si>
    <t xml:space="preserve">DR Congo</t>
  </si>
  <si>
    <t xml:space="preserve">L</t>
  </si>
  <si>
    <t xml:space="preserve">England</t>
  </si>
  <si>
    <t xml:space="preserve">Croatia</t>
  </si>
  <si>
    <t xml:space="preserve">Ghana</t>
  </si>
  <si>
    <t xml:space="preserve">Panama</t>
  </si>
  <si>
    <t xml:space="preserve">Uzbekistan</t>
  </si>
  <si>
    <t xml:space="preserve">Colombia</t>
  </si>
  <si>
    <t xml:space="preserve">Round of 32</t>
  </si>
  <si>
    <t xml:space="preserve">Group A 2nd Place</t>
  </si>
  <si>
    <t xml:space="preserve">Group B 2nd Place</t>
  </si>
  <si>
    <t xml:space="preserve">Group C Winner</t>
  </si>
  <si>
    <t xml:space="preserve">Group F 2nd Place</t>
  </si>
  <si>
    <t xml:space="preserve">Group E Winner</t>
  </si>
  <si>
    <t xml:space="preserve">Group A/B/C/D/F 3rd Place</t>
  </si>
  <si>
    <t xml:space="preserve">Group F Winner</t>
  </si>
  <si>
    <t xml:space="preserve">Group C 2nd Place</t>
  </si>
  <si>
    <t xml:space="preserve">Group E 2nd Place</t>
  </si>
  <si>
    <t xml:space="preserve">Group I 2nd Place</t>
  </si>
  <si>
    <t xml:space="preserve">Group I Winner</t>
  </si>
  <si>
    <t xml:space="preserve">Group C/D/F/G/H 3rd Place</t>
  </si>
  <si>
    <t xml:space="preserve">Group A Winner</t>
  </si>
  <si>
    <t xml:space="preserve">Group C/E/F/H/I 3rd Place</t>
  </si>
  <si>
    <t xml:space="preserve">Group L Winner</t>
  </si>
  <si>
    <t xml:space="preserve">Group E/H/I/J/K 3rd Place</t>
  </si>
  <si>
    <t xml:space="preserve">Group G Winner</t>
  </si>
  <si>
    <t xml:space="preserve">Group A/E/H/I/J 3rd Place</t>
  </si>
  <si>
    <t xml:space="preserve">Group D Winner</t>
  </si>
  <si>
    <t xml:space="preserve">Group B/E/F/I/J 3rd Place</t>
  </si>
  <si>
    <t xml:space="preserve">Group H Winner</t>
  </si>
  <si>
    <t xml:space="preserve">Group J 2nd Place</t>
  </si>
  <si>
    <t xml:space="preserve">Group K 2nd Place</t>
  </si>
  <si>
    <t xml:space="preserve">Group L 2nd Place</t>
  </si>
  <si>
    <t xml:space="preserve">Group B Winner</t>
  </si>
  <si>
    <t xml:space="preserve">Group D/E/I/J/L 3rd Place</t>
  </si>
  <si>
    <t xml:space="preserve">Group D 2nd Place</t>
  </si>
  <si>
    <t xml:space="preserve">Group G 2nd Place</t>
  </si>
  <si>
    <t xml:space="preserve">Group J Winner</t>
  </si>
  <si>
    <t xml:space="preserve">Group H 2nd Place</t>
  </si>
  <si>
    <t xml:space="preserve">Group K Winner</t>
  </si>
  <si>
    <t xml:space="preserve">Round of 16</t>
  </si>
  <si>
    <t xml:space="preserve">TBD</t>
  </si>
  <si>
    <t xml:space="preserve">Quarterfinal</t>
  </si>
  <si>
    <t xml:space="preserve">Semifinal</t>
  </si>
  <si>
    <t xml:space="preserve">Third Place</t>
  </si>
  <si>
    <t xml:space="preserve">Loser Match 101</t>
  </si>
  <si>
    <t xml:space="preserve">Loser Match 102</t>
  </si>
  <si>
    <t xml:space="preserve">Final</t>
  </si>
  <si>
    <t xml:space="preserve">Winner Match 101</t>
  </si>
  <si>
    <t xml:space="preserve">Winner Match 102</t>
  </si>
  <si>
    <t xml:space="preserve">📅  FULL SCHEDULE — all 104 fixtures (kickoff times in ET)</t>
  </si>
  <si>
    <t xml:space="preserve">Venue</t>
  </si>
  <si>
    <t xml:space="preserve">Kickoff (ET)</t>
  </si>
  <si>
    <t xml:space="preserve">Mexico City Stadium</t>
  </si>
  <si>
    <t xml:space="preserve">3:00 PM ET</t>
  </si>
  <si>
    <t xml:space="preserve">Guadalajara Stadium</t>
  </si>
  <si>
    <t xml:space="preserve">10:00 PM ET</t>
  </si>
  <si>
    <t xml:space="preserve">Toronto Stadium</t>
  </si>
  <si>
    <t xml:space="preserve">Los Angeles Stadium</t>
  </si>
  <si>
    <t xml:space="preserve">9:00 PM ET</t>
  </si>
  <si>
    <t xml:space="preserve">San Francisco Bay Stadium</t>
  </si>
  <si>
    <t xml:space="preserve">New York New Jersey Stadium</t>
  </si>
  <si>
    <t xml:space="preserve">6:00 PM ET</t>
  </si>
  <si>
    <t xml:space="preserve">Boston Stadium</t>
  </si>
  <si>
    <t xml:space="preserve">BC Place Vancouver</t>
  </si>
  <si>
    <t xml:space="preserve">12:00 AM ET</t>
  </si>
  <si>
    <t xml:space="preserve">Houston Stadium</t>
  </si>
  <si>
    <t xml:space="preserve">1:00 PM ET</t>
  </si>
  <si>
    <t xml:space="preserve">Dallas Stadium</t>
  </si>
  <si>
    <t xml:space="preserve">4:00 PM ET</t>
  </si>
  <si>
    <t xml:space="preserve">Philadelphia Stadium</t>
  </si>
  <si>
    <t xml:space="preserve">7:00 PM ET</t>
  </si>
  <si>
    <t xml:space="preserve">Monterrey Stadium</t>
  </si>
  <si>
    <t xml:space="preserve">Atlanta Stadium</t>
  </si>
  <si>
    <t xml:space="preserve">12:00 PM ET</t>
  </si>
  <si>
    <t xml:space="preserve">Seattle Stadium</t>
  </si>
  <si>
    <t xml:space="preserve">Miami Stadium</t>
  </si>
  <si>
    <t xml:space="preserve">Kansas City Stadium</t>
  </si>
  <si>
    <t xml:space="preserve">8:00 PM ET</t>
  </si>
  <si>
    <t xml:space="preserve">5:00 PM ET</t>
  </si>
  <si>
    <t xml:space="preserve">11:00 PM ET</t>
  </si>
  <si>
    <t xml:space="preserve">7:30 PM ET</t>
  </si>
  <si>
    <t xml:space="preserve">4:30 PM ET</t>
  </si>
  <si>
    <t xml:space="preserve">2:00 PM ET</t>
  </si>
  <si>
    <t xml:space="preserve">9:30 PM ET</t>
  </si>
  <si>
    <t xml:space="preserve">🏆  PRE-TOURNAMENT PICKS  —  Champion 25 · Runner-Up 15 · Semifinalists 10 each (max 80)</t>
  </si>
  <si>
    <t xml:space="preserve">ACTUAL RESULTS — fill in as each stage is reached:</t>
  </si>
  <si>
    <t xml:space="preserve">Champion</t>
  </si>
  <si>
    <t xml:space="preserve">Runner-Up</t>
  </si>
  <si>
    <t xml:space="preserve">Semifinalists (all 4)</t>
  </si>
  <si>
    <t xml:space="preserve">Player</t>
  </si>
  <si>
    <t xml:space="preserve">SF 1</t>
  </si>
  <si>
    <t xml:space="preserve">SF 2</t>
  </si>
  <si>
    <t xml:space="preserve">SF 3</t>
  </si>
  <si>
    <t xml:space="preserve">SF 4</t>
  </si>
  <si>
    <t xml:space="preserve">Champ</t>
  </si>
  <si>
    <t xml:space="preserve">R-Up</t>
  </si>
  <si>
    <t xml:space="preserve">SFs</t>
  </si>
  <si>
    <t xml:space="preserve">Total</t>
  </si>
  <si>
    <t xml:space="preserve">🏆  LEADERBOARD</t>
  </si>
  <si>
    <t xml:space="preserve">Updates automatically. Sort by the TOTAL column (Largest to Smallest) or read the Rank column.</t>
  </si>
  <si>
    <t xml:space="preserve">Rank</t>
  </si>
  <si>
    <t xml:space="preserve">Pre-Tourney</t>
  </si>
  <si>
    <t xml:space="preserve">Match Pts</t>
  </si>
  <si>
    <t xml:space="preserve">TOTAL</t>
  </si>
  <si>
    <t xml:space="preserve">Exact Scores</t>
  </si>
  <si>
    <t xml:space="preserve">Correct Picks</t>
  </si>
  <si>
    <t xml:space="preserve">Accuracy</t>
  </si>
  <si>
    <t xml:space="preserve">Champion Pick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</si>
</sst>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d&quot;, &quot;mmm\ d"/>
    <numFmt numFmtId="166" formatCode="0"/>
    <numFmt numFmtId="167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0F5C3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0F5C3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7A43"/>
        <bgColor rgb="FF3C8C5E"/>
      </patternFill>
    </fill>
    <fill>
      <patternFill patternType="solid">
        <fgColor rgb="FF0F5C30"/>
        <bgColor rgb="FF1B7A43"/>
      </patternFill>
    </fill>
    <fill>
      <patternFill patternType="solid">
        <fgColor rgb="FF3C8C5E"/>
        <bgColor rgb="FF1B7A43"/>
      </patternFill>
    </fill>
    <fill>
      <patternFill patternType="solid">
        <fgColor rgb="FFE9F3EC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F7D6"/>
        <bgColor rgb="FFF2F2F2"/>
      </patternFill>
    </fill>
    <fill>
      <patternFill patternType="solid">
        <fgColor rgb="FFF2F2F2"/>
        <bgColor rgb="FFE9F3EC"/>
      </patternFill>
    </fill>
    <fill>
      <patternFill patternType="solid">
        <fgColor rgb="FFFBE6D4"/>
        <bgColor rgb="FFFFF7D6"/>
      </patternFill>
    </fill>
    <fill>
      <patternFill patternType="solid">
        <fgColor rgb="FFC8A100"/>
        <bgColor rgb="FF99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F5C30"/>
      <rgbColor rgb="FF000080"/>
      <rgbColor rgb="FF808000"/>
      <rgbColor rgb="FF800080"/>
      <rgbColor rgb="FF1B7A43"/>
      <rgbColor rgb="FFC9C9C9"/>
      <rgbColor rgb="FF808080"/>
      <rgbColor rgb="FF9999FF"/>
      <rgbColor rgb="FF993366"/>
      <rgbColor rgb="FFFFF7D6"/>
      <rgbColor rgb="FFE9F3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BE6D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A100"/>
      <rgbColor rgb="FFFF6600"/>
      <rgbColor rgb="FF666699"/>
      <rgbColor rgb="FF969696"/>
      <rgbColor rgb="FF003366"/>
      <rgbColor rgb="FF3C8C5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2"/>
  </cols>
  <sheetData>
    <row r="1" customFormat="false" ht="30" hidden="false" customHeight="true" outlineLevel="0" collapsed="false">
      <c r="B1" s="1" t="s">
        <v>0</v>
      </c>
    </row>
    <row r="2" customFormat="false" ht="15" hidden="false" customHeight="true" outlineLevel="0" collapsed="false">
      <c r="B2" s="2"/>
    </row>
    <row r="3" customFormat="false" ht="15" hidden="false" customHeight="true" outlineLevel="0" collapsed="false">
      <c r="B3" s="3" t="s">
        <v>1</v>
      </c>
    </row>
    <row r="4" customFormat="false" ht="15" hidden="false" customHeight="true" outlineLevel="0" collapsed="false">
      <c r="B4" s="2" t="s">
        <v>2</v>
      </c>
    </row>
    <row r="5" customFormat="false" ht="15" hidden="false" customHeight="true" outlineLevel="0" collapsed="false">
      <c r="B5" s="2" t="s">
        <v>3</v>
      </c>
    </row>
    <row r="6" customFormat="false" ht="15" hidden="false" customHeight="true" outlineLevel="0" collapsed="false">
      <c r="B6" s="2"/>
    </row>
    <row r="7" customFormat="false" ht="15" hidden="false" customHeight="true" outlineLevel="0" collapsed="false">
      <c r="B7" s="3" t="s">
        <v>4</v>
      </c>
    </row>
    <row r="8" customFormat="false" ht="15" hidden="false" customHeight="true" outlineLevel="0" collapsed="false">
      <c r="B8" s="2" t="s">
        <v>5</v>
      </c>
    </row>
    <row r="9" customFormat="false" ht="15" hidden="false" customHeight="true" outlineLevel="0" collapsed="false">
      <c r="B9" s="2" t="s">
        <v>6</v>
      </c>
    </row>
    <row r="10" customFormat="false" ht="15" hidden="false" customHeight="true" outlineLevel="0" collapsed="false">
      <c r="B10" s="2" t="s">
        <v>7</v>
      </c>
    </row>
    <row r="11" customFormat="false" ht="15" hidden="false" customHeight="true" outlineLevel="0" collapsed="false">
      <c r="B11" s="2" t="s">
        <v>8</v>
      </c>
    </row>
    <row r="12" customFormat="false" ht="15" hidden="false" customHeight="true" outlineLevel="0" collapsed="false">
      <c r="B12" s="2" t="s">
        <v>9</v>
      </c>
    </row>
    <row r="13" customFormat="false" ht="15" hidden="false" customHeight="true" outlineLevel="0" collapsed="false">
      <c r="B13" s="2" t="s">
        <v>10</v>
      </c>
    </row>
    <row r="14" customFormat="false" ht="15" hidden="false" customHeight="true" outlineLevel="0" collapsed="false">
      <c r="B14" s="2"/>
    </row>
    <row r="15" customFormat="false" ht="15" hidden="false" customHeight="true" outlineLevel="0" collapsed="false">
      <c r="B15" s="3" t="s">
        <v>11</v>
      </c>
    </row>
    <row r="16" customFormat="false" ht="15" hidden="false" customHeight="true" outlineLevel="0" collapsed="false">
      <c r="B16" s="2" t="s">
        <v>12</v>
      </c>
    </row>
    <row r="17" customFormat="false" ht="15" hidden="false" customHeight="true" outlineLevel="0" collapsed="false">
      <c r="B17" s="2" t="s">
        <v>13</v>
      </c>
    </row>
    <row r="18" customFormat="false" ht="15" hidden="false" customHeight="true" outlineLevel="0" collapsed="false">
      <c r="B18" s="2" t="s">
        <v>14</v>
      </c>
    </row>
    <row r="19" customFormat="false" ht="15" hidden="false" customHeight="true" outlineLevel="0" collapsed="false">
      <c r="B19" s="2"/>
    </row>
    <row r="20" customFormat="false" ht="15" hidden="false" customHeight="true" outlineLevel="0" collapsed="false">
      <c r="B20" s="3" t="s">
        <v>15</v>
      </c>
    </row>
    <row r="21" customFormat="false" ht="15" hidden="false" customHeight="true" outlineLevel="0" collapsed="false">
      <c r="B21" s="2" t="s">
        <v>16</v>
      </c>
    </row>
    <row r="22" customFormat="false" ht="15" hidden="false" customHeight="true" outlineLevel="0" collapsed="false">
      <c r="B22" s="2" t="s">
        <v>17</v>
      </c>
    </row>
    <row r="23" customFormat="false" ht="15" hidden="false" customHeight="true" outlineLevel="0" collapsed="false">
      <c r="B23" s="3" t="s">
        <v>18</v>
      </c>
    </row>
    <row r="24" customFormat="false" ht="15" hidden="false" customHeight="true" outlineLevel="0" collapsed="false">
      <c r="B24" s="2" t="s">
        <v>19</v>
      </c>
    </row>
    <row r="25" customFormat="false" ht="15" hidden="false" customHeight="true" outlineLevel="0" collapsed="false">
      <c r="B25" s="2" t="s">
        <v>20</v>
      </c>
    </row>
    <row r="26" customFormat="false" ht="15" hidden="false" customHeight="true" outlineLevel="0" collapsed="false">
      <c r="B26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0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8" ySplit="3" topLeftCell="I62" activePane="bottomRight" state="frozen"/>
      <selection pane="topLeft" activeCell="A1" activeCellId="0" sqref="A1"/>
      <selection pane="topRight" activeCell="I1" activeCellId="0" sqref="I1"/>
      <selection pane="bottomLeft" activeCell="A62" activeCellId="0" sqref="A62"/>
      <selection pane="bottomRight" activeCell="E76" activeCellId="0" sqref="E76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6" min="5" style="0" width="19"/>
    <col collapsed="false" customWidth="true" hidden="false" outlineLevel="0" max="8" min="7" style="0" width="6"/>
    <col collapsed="false" customWidth="true" hidden="false" outlineLevel="0" max="10" min="9" style="0" width="6.54"/>
    <col collapsed="false" customWidth="true" hidden="false" outlineLevel="0" max="11" min="11" style="0" width="5.54"/>
    <col collapsed="false" customWidth="true" hidden="false" outlineLevel="0" max="13" min="12" style="0" width="6.54"/>
    <col collapsed="false" customWidth="true" hidden="false" outlineLevel="0" max="14" min="14" style="0" width="5.54"/>
    <col collapsed="false" customWidth="true" hidden="false" outlineLevel="0" max="16" min="15" style="0" width="6.54"/>
    <col collapsed="false" customWidth="true" hidden="false" outlineLevel="0" max="17" min="17" style="0" width="5.54"/>
    <col collapsed="false" customWidth="true" hidden="false" outlineLevel="0" max="19" min="18" style="0" width="6.54"/>
    <col collapsed="false" customWidth="true" hidden="false" outlineLevel="0" max="20" min="20" style="0" width="5.54"/>
    <col collapsed="false" customWidth="true" hidden="false" outlineLevel="0" max="22" min="21" style="0" width="6.54"/>
    <col collapsed="false" customWidth="true" hidden="false" outlineLevel="0" max="23" min="23" style="0" width="5.54"/>
    <col collapsed="false" customWidth="true" hidden="false" outlineLevel="0" max="25" min="24" style="0" width="6.54"/>
    <col collapsed="false" customWidth="true" hidden="false" outlineLevel="0" max="26" min="26" style="0" width="5.54"/>
    <col collapsed="false" customWidth="true" hidden="false" outlineLevel="0" max="28" min="27" style="0" width="6.54"/>
    <col collapsed="false" customWidth="true" hidden="false" outlineLevel="0" max="29" min="29" style="0" width="5.54"/>
    <col collapsed="false" customWidth="true" hidden="false" outlineLevel="0" max="30" min="30" style="0" width="6.54"/>
    <col collapsed="false" customWidth="true" hidden="false" outlineLevel="0" max="31" min="31" style="0" width="13"/>
    <col collapsed="false" customWidth="true" hidden="false" outlineLevel="0" max="32" min="32" style="0" width="5.54"/>
    <col collapsed="false" customWidth="true" hidden="false" outlineLevel="0" max="33" min="33" style="0" width="6.54"/>
    <col collapsed="false" customWidth="true" hidden="false" outlineLevel="0" max="34" min="34" style="0" width="13"/>
    <col collapsed="false" customWidth="true" hidden="false" outlineLevel="0" max="35" min="35" style="0" width="5.54"/>
    <col collapsed="false" customWidth="true" hidden="false" outlineLevel="0" max="36" min="36" style="0" width="14.09"/>
  </cols>
  <sheetData>
    <row r="1" customFormat="false" ht="25.5" hidden="false" customHeight="true" outlineLevel="0" collapsed="false">
      <c r="A1" s="4" t="s">
        <v>22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customFormat="false" ht="15" hidden="false" customHeight="true" outlineLevel="0" collapsed="false">
      <c r="A2" s="5" t="s">
        <v>23</v>
      </c>
      <c r="B2" s="5"/>
      <c r="C2" s="5"/>
      <c r="D2" s="5"/>
      <c r="E2" s="5"/>
      <c r="F2" s="5"/>
      <c r="G2" s="5"/>
      <c r="H2" s="5"/>
      <c r="I2" s="6" t="s">
        <v>24</v>
      </c>
      <c r="J2" s="6"/>
      <c r="K2" s="6"/>
      <c r="L2" s="6" t="s">
        <v>25</v>
      </c>
      <c r="M2" s="6"/>
      <c r="N2" s="6"/>
      <c r="O2" s="6" t="s">
        <v>26</v>
      </c>
      <c r="P2" s="6"/>
      <c r="Q2" s="6"/>
      <c r="R2" s="6" t="s">
        <v>27</v>
      </c>
      <c r="S2" s="6"/>
      <c r="T2" s="6"/>
      <c r="U2" s="6" t="s">
        <v>28</v>
      </c>
      <c r="V2" s="6"/>
      <c r="W2" s="6"/>
      <c r="X2" s="6" t="s">
        <v>29</v>
      </c>
      <c r="Y2" s="6"/>
      <c r="Z2" s="6"/>
      <c r="AA2" s="6" t="s">
        <v>30</v>
      </c>
      <c r="AB2" s="6"/>
      <c r="AC2" s="6"/>
      <c r="AD2" s="6" t="s">
        <v>31</v>
      </c>
      <c r="AE2" s="6"/>
      <c r="AF2" s="6"/>
      <c r="AG2" s="6" t="s">
        <v>32</v>
      </c>
      <c r="AH2" s="6"/>
      <c r="AI2" s="6"/>
    </row>
    <row r="3" customFormat="false" ht="18" hidden="false" customHeight="true" outlineLevel="0" collapsed="false">
      <c r="A3" s="7" t="s">
        <v>33</v>
      </c>
      <c r="B3" s="7" t="s">
        <v>34</v>
      </c>
      <c r="C3" s="7" t="s">
        <v>35</v>
      </c>
      <c r="D3" s="7" t="s">
        <v>36</v>
      </c>
      <c r="E3" s="7" t="s">
        <v>37</v>
      </c>
      <c r="F3" s="7" t="s">
        <v>38</v>
      </c>
      <c r="G3" s="7" t="s">
        <v>39</v>
      </c>
      <c r="H3" s="7" t="s">
        <v>40</v>
      </c>
      <c r="I3" s="8" t="s">
        <v>41</v>
      </c>
      <c r="J3" s="8" t="s">
        <v>42</v>
      </c>
      <c r="K3" s="9" t="s">
        <v>43</v>
      </c>
      <c r="L3" s="8" t="s">
        <v>41</v>
      </c>
      <c r="M3" s="8" t="s">
        <v>42</v>
      </c>
      <c r="N3" s="9" t="s">
        <v>43</v>
      </c>
      <c r="O3" s="8" t="s">
        <v>41</v>
      </c>
      <c r="P3" s="8" t="s">
        <v>42</v>
      </c>
      <c r="Q3" s="9" t="s">
        <v>43</v>
      </c>
      <c r="R3" s="8" t="s">
        <v>41</v>
      </c>
      <c r="S3" s="8" t="s">
        <v>42</v>
      </c>
      <c r="T3" s="9" t="s">
        <v>43</v>
      </c>
      <c r="U3" s="8" t="s">
        <v>41</v>
      </c>
      <c r="V3" s="8" t="s">
        <v>42</v>
      </c>
      <c r="W3" s="9" t="s">
        <v>43</v>
      </c>
      <c r="X3" s="8" t="s">
        <v>41</v>
      </c>
      <c r="Y3" s="8" t="s">
        <v>42</v>
      </c>
      <c r="Z3" s="9" t="s">
        <v>43</v>
      </c>
      <c r="AA3" s="8" t="s">
        <v>41</v>
      </c>
      <c r="AB3" s="8" t="s">
        <v>42</v>
      </c>
      <c r="AC3" s="9" t="s">
        <v>43</v>
      </c>
      <c r="AD3" s="8" t="s">
        <v>41</v>
      </c>
      <c r="AE3" s="8" t="s">
        <v>42</v>
      </c>
      <c r="AF3" s="9" t="s">
        <v>43</v>
      </c>
      <c r="AG3" s="8" t="s">
        <v>41</v>
      </c>
      <c r="AH3" s="8" t="s">
        <v>42</v>
      </c>
      <c r="AI3" s="9" t="s">
        <v>43</v>
      </c>
      <c r="AJ3" s="0" t="s">
        <v>44</v>
      </c>
    </row>
    <row r="4" customFormat="false" ht="15" hidden="false" customHeight="true" outlineLevel="0" collapsed="false">
      <c r="A4" s="10" t="n">
        <v>1</v>
      </c>
      <c r="B4" s="11" t="n">
        <v>46184</v>
      </c>
      <c r="C4" s="12" t="s">
        <v>45</v>
      </c>
      <c r="D4" s="10" t="s">
        <v>46</v>
      </c>
      <c r="E4" s="13" t="s">
        <v>47</v>
      </c>
      <c r="F4" s="13" t="s">
        <v>48</v>
      </c>
      <c r="G4" s="14" t="n">
        <v>2</v>
      </c>
      <c r="H4" s="14" t="n">
        <v>0</v>
      </c>
      <c r="I4" s="14" t="n">
        <v>3</v>
      </c>
      <c r="J4" s="14" t="n">
        <v>1</v>
      </c>
      <c r="K4" s="15" t="n">
        <f aca="false">IF(OR(I4="",J4="",$G4="",$H4=""),0,IF(AND(I4=$G4,J4=$H4),8,IF(SIGN(I4-J4)=SIGN($G4-$H4),3,0)))</f>
        <v>3</v>
      </c>
      <c r="L4" s="14" t="n">
        <v>2</v>
      </c>
      <c r="M4" s="14" t="n">
        <v>1</v>
      </c>
      <c r="N4" s="15" t="n">
        <f aca="false">IF(OR(L4="",M4="",$G4="",$H4=""),0,IF(AND(L4=$G4,M4=$H4),8,IF(SIGN(L4-M4)=SIGN($G4-$H4),3,0)))</f>
        <v>3</v>
      </c>
      <c r="O4" s="14" t="n">
        <v>1</v>
      </c>
      <c r="P4" s="14" t="n">
        <v>0</v>
      </c>
      <c r="Q4" s="15" t="n">
        <f aca="false">IF(OR(O4="",P4="",$G4="",$H4=""),0,IF(AND(O4=$G4,P4=$H4),8,IF(SIGN(O4-P4)=SIGN($G4-$H4),3,0)))</f>
        <v>3</v>
      </c>
      <c r="R4" s="14" t="n">
        <v>3</v>
      </c>
      <c r="S4" s="14" t="n">
        <v>0</v>
      </c>
      <c r="T4" s="15" t="n">
        <f aca="false">IF(OR(R4="",S4="",$G4="",$H4=""),0,IF(AND(R4=$G4,S4=$H4),8,IF(SIGN(R4-S4)=SIGN($G4-$H4),3,0)))</f>
        <v>3</v>
      </c>
      <c r="U4" s="14"/>
      <c r="V4" s="14"/>
      <c r="W4" s="15" t="n">
        <f aca="false">IF(OR(U4="",V4="",$G4="",$H4=""),0,IF(AND(U4=$G4,V4=$H4),8,IF(SIGN(U4-V4)=SIGN($G4-$H4),3,0)))</f>
        <v>0</v>
      </c>
      <c r="X4" s="14" t="n">
        <v>0</v>
      </c>
      <c r="Y4" s="14" t="n">
        <v>1</v>
      </c>
      <c r="Z4" s="15" t="n">
        <f aca="false">IF(OR(X4="",Y4="",$G4="",$H4=""),0,IF(AND(X4=$G4,Y4=$H4),8,IF(SIGN(X4-Y4)=SIGN($G4-$H4),3,0)))</f>
        <v>0</v>
      </c>
      <c r="AA4" s="14" t="n">
        <v>2</v>
      </c>
      <c r="AB4" s="14" t="n">
        <v>0</v>
      </c>
      <c r="AC4" s="15" t="n">
        <f aca="false">IF(OR(AA4="",AB4="",$G4="",$H4=""),0,IF(AND(AA4=$G4,AB4=$H4),8,IF(SIGN(AA4-AB4)=SIGN($G4-$H4),3,0)))</f>
        <v>8</v>
      </c>
      <c r="AD4" s="14" t="n">
        <v>2</v>
      </c>
      <c r="AE4" s="14" t="n">
        <v>0</v>
      </c>
      <c r="AF4" s="15" t="n">
        <f aca="false">IF(OR(AD4="",AE4="",$G4="",$H4=""),0,IF(AND(AD4=$G4,AE4=$H4),8,IF(SIGN(AD4-AE4)=SIGN($G4-$H4),3,0)))</f>
        <v>8</v>
      </c>
      <c r="AG4" s="14" t="n">
        <v>2</v>
      </c>
      <c r="AH4" s="14" t="n">
        <v>1</v>
      </c>
      <c r="AI4" s="15" t="n">
        <f aca="false">IF(OR(AG4="",AH4="",$G4="",$H4=""),0,IF(AND(AG4=$G4,AH4=$H4),8,IF(SIGN(AG4-AH4)=SIGN($G4-$H4),3,0)))</f>
        <v>3</v>
      </c>
    </row>
    <row r="5" customFormat="false" ht="15" hidden="false" customHeight="true" outlineLevel="0" collapsed="false">
      <c r="A5" s="16" t="n">
        <v>2</v>
      </c>
      <c r="B5" s="17" t="n">
        <v>46184</v>
      </c>
      <c r="C5" s="18" t="s">
        <v>45</v>
      </c>
      <c r="D5" s="16" t="s">
        <v>46</v>
      </c>
      <c r="E5" s="19" t="s">
        <v>49</v>
      </c>
      <c r="F5" s="19" t="s">
        <v>50</v>
      </c>
      <c r="G5" s="14" t="n">
        <v>2</v>
      </c>
      <c r="H5" s="14" t="n">
        <v>1</v>
      </c>
      <c r="I5" s="14" t="n">
        <v>2</v>
      </c>
      <c r="J5" s="14" t="n">
        <v>1</v>
      </c>
      <c r="K5" s="20" t="n">
        <f aca="false">IF(OR(I5="",J5="",$G5="",$H5=""),0,IF(AND(I5=$G5,J5=$H5),8,IF(SIGN(I5-J5)=SIGN($G5-$H5),3,0)))</f>
        <v>8</v>
      </c>
      <c r="L5" s="14" t="n">
        <v>2</v>
      </c>
      <c r="M5" s="14" t="n">
        <v>2</v>
      </c>
      <c r="N5" s="20" t="n">
        <f aca="false">IF(OR(L5="",M5="",$G5="",$H5=""),0,IF(AND(L5=$G5,M5=$H5),8,IF(SIGN(L5-M5)=SIGN($G5-$H5),3,0)))</f>
        <v>0</v>
      </c>
      <c r="O5" s="14" t="n">
        <v>3</v>
      </c>
      <c r="P5" s="14" t="n">
        <v>1</v>
      </c>
      <c r="Q5" s="20" t="n">
        <f aca="false">IF(OR(O5="",P5="",$G5="",$H5=""),0,IF(AND(O5=$G5,P5=$H5),8,IF(SIGN(O5-P5)=SIGN($G5-$H5),3,0)))</f>
        <v>3</v>
      </c>
      <c r="R5" s="14" t="n">
        <v>1</v>
      </c>
      <c r="S5" s="14" t="n">
        <v>2</v>
      </c>
      <c r="T5" s="20" t="n">
        <f aca="false">IF(OR(R5="",S5="",$G5="",$H5=""),0,IF(AND(R5=$G5,S5=$H5),8,IF(SIGN(R5-S5)=SIGN($G5-$H5),3,0)))</f>
        <v>0</v>
      </c>
      <c r="U5" s="14" t="n">
        <v>2</v>
      </c>
      <c r="V5" s="14" t="n">
        <v>1</v>
      </c>
      <c r="W5" s="20" t="n">
        <f aca="false">IF(OR(U5="",V5="",$G5="",$H5=""),0,IF(AND(U5=$G5,V5=$H5),8,IF(SIGN(U5-V5)=SIGN($G5-$H5),3,0)))</f>
        <v>8</v>
      </c>
      <c r="X5" s="14" t="n">
        <v>1</v>
      </c>
      <c r="Y5" s="14" t="n">
        <v>2</v>
      </c>
      <c r="Z5" s="20" t="n">
        <f aca="false">IF(OR(X5="",Y5="",$G5="",$H5=""),0,IF(AND(X5=$G5,Y5=$H5),8,IF(SIGN(X5-Y5)=SIGN($G5-$H5),3,0)))</f>
        <v>0</v>
      </c>
      <c r="AA5" s="14" t="n">
        <v>2</v>
      </c>
      <c r="AB5" s="14" t="n">
        <v>1</v>
      </c>
      <c r="AC5" s="20" t="n">
        <f aca="false">IF(OR(AA5="",AB5="",$G5="",$H5=""),0,IF(AND(AA5=$G5,AB5=$H5),8,IF(SIGN(AA5-AB5)=SIGN($G5-$H5),3,0)))</f>
        <v>8</v>
      </c>
      <c r="AD5" s="14" t="n">
        <v>1</v>
      </c>
      <c r="AE5" s="14" t="n">
        <v>1</v>
      </c>
      <c r="AF5" s="20" t="n">
        <f aca="false">IF(OR(AD5="",AE5="",$G5="",$H5=""),0,IF(AND(AD5=$G5,AE5=$H5),8,IF(SIGN(AD5-AE5)=SIGN($G5-$H5),3,0)))</f>
        <v>0</v>
      </c>
      <c r="AG5" s="14" t="n">
        <v>1</v>
      </c>
      <c r="AH5" s="14" t="n">
        <v>2</v>
      </c>
      <c r="AI5" s="20" t="n">
        <f aca="false">IF(OR(AG5="",AH5="",$G5="",$H5=""),0,IF(AND(AG5=$G5,AH5=$H5),8,IF(SIGN(AG5-AH5)=SIGN($G5-$H5),3,0)))</f>
        <v>0</v>
      </c>
    </row>
    <row r="6" customFormat="false" ht="15" hidden="false" customHeight="true" outlineLevel="0" collapsed="false">
      <c r="A6" s="10" t="n">
        <v>3</v>
      </c>
      <c r="B6" s="11" t="n">
        <v>46185</v>
      </c>
      <c r="C6" s="12" t="s">
        <v>45</v>
      </c>
      <c r="D6" s="10" t="s">
        <v>51</v>
      </c>
      <c r="E6" s="13" t="s">
        <v>52</v>
      </c>
      <c r="F6" s="13" t="s">
        <v>53</v>
      </c>
      <c r="G6" s="14" t="n">
        <v>1</v>
      </c>
      <c r="H6" s="14" t="n">
        <v>1</v>
      </c>
      <c r="I6" s="14" t="n">
        <v>2</v>
      </c>
      <c r="J6" s="14" t="n">
        <v>1</v>
      </c>
      <c r="K6" s="15" t="n">
        <f aca="false">IF(OR(I6="",J6="",$G6="",$H6=""),0,IF(AND(I6=$G6,J6=$H6),8,IF(SIGN(I6-J6)=SIGN($G6-$H6),3,0)))</f>
        <v>0</v>
      </c>
      <c r="L6" s="14" t="n">
        <v>1</v>
      </c>
      <c r="M6" s="14" t="n">
        <v>1</v>
      </c>
      <c r="N6" s="15" t="n">
        <f aca="false">IF(OR(L6="",M6="",$G6="",$H6=""),0,IF(AND(L6=$G6,M6=$H6),8,IF(SIGN(L6-M6)=SIGN($G6-$H6),3,0)))</f>
        <v>8</v>
      </c>
      <c r="O6" s="14" t="n">
        <v>2</v>
      </c>
      <c r="P6" s="14" t="n">
        <v>2</v>
      </c>
      <c r="Q6" s="15" t="n">
        <f aca="false">IF(OR(O6="",P6="",$G6="",$H6=""),0,IF(AND(O6=$G6,P6=$H6),8,IF(SIGN(O6-P6)=SIGN($G6-$H6),3,0)))</f>
        <v>3</v>
      </c>
      <c r="R6" s="14" t="n">
        <v>1</v>
      </c>
      <c r="S6" s="14" t="n">
        <v>1</v>
      </c>
      <c r="T6" s="15" t="n">
        <f aca="false">IF(OR(R6="",S6="",$G6="",$H6=""),0,IF(AND(R6=$G6,S6=$H6),8,IF(SIGN(R6-S6)=SIGN($G6-$H6),3,0)))</f>
        <v>8</v>
      </c>
      <c r="U6" s="14" t="n">
        <v>1</v>
      </c>
      <c r="V6" s="14" t="n">
        <v>0</v>
      </c>
      <c r="W6" s="15" t="n">
        <f aca="false">IF(OR(U6="",V6="",$G6="",$H6=""),0,IF(AND(U6=$G6,V6=$H6),8,IF(SIGN(U6-V6)=SIGN($G6-$H6),3,0)))</f>
        <v>0</v>
      </c>
      <c r="X6" s="14" t="n">
        <v>3</v>
      </c>
      <c r="Y6" s="14" t="n">
        <v>0</v>
      </c>
      <c r="Z6" s="15" t="n">
        <f aca="false">IF(OR(X6="",Y6="",$G6="",$H6=""),0,IF(AND(X6=$G6,Y6=$H6),8,IF(SIGN(X6-Y6)=SIGN($G6-$H6),3,0)))</f>
        <v>0</v>
      </c>
      <c r="AA6" s="14" t="n">
        <v>1</v>
      </c>
      <c r="AB6" s="14" t="n">
        <v>1</v>
      </c>
      <c r="AC6" s="15" t="n">
        <f aca="false">IF(OR(AA6="",AB6="",$G6="",$H6=""),0,IF(AND(AA6=$G6,AB6=$H6),8,IF(SIGN(AA6-AB6)=SIGN($G6-$H6),3,0)))</f>
        <v>8</v>
      </c>
      <c r="AD6" s="14" t="n">
        <v>2</v>
      </c>
      <c r="AE6" s="14" t="n">
        <v>0</v>
      </c>
      <c r="AF6" s="15" t="n">
        <f aca="false">IF(OR(AD6="",AE6="",$G6="",$H6=""),0,IF(AND(AD6=$G6,AE6=$H6),8,IF(SIGN(AD6-AE6)=SIGN($G6-$H6),3,0)))</f>
        <v>0</v>
      </c>
      <c r="AG6" s="14" t="n">
        <v>1</v>
      </c>
      <c r="AH6" s="14" t="n">
        <v>0</v>
      </c>
      <c r="AI6" s="15" t="n">
        <f aca="false">IF(OR(AG6="",AH6="",$G6="",$H6=""),0,IF(AND(AG6=$G6,AH6=$H6),8,IF(SIGN(AG6-AH6)=SIGN($G6-$H6),3,0)))</f>
        <v>0</v>
      </c>
    </row>
    <row r="7" customFormat="false" ht="15" hidden="false" customHeight="true" outlineLevel="0" collapsed="false">
      <c r="A7" s="16" t="n">
        <v>4</v>
      </c>
      <c r="B7" s="17" t="n">
        <v>46185</v>
      </c>
      <c r="C7" s="18" t="s">
        <v>45</v>
      </c>
      <c r="D7" s="16" t="s">
        <v>54</v>
      </c>
      <c r="E7" s="19" t="s">
        <v>55</v>
      </c>
      <c r="F7" s="19" t="s">
        <v>56</v>
      </c>
      <c r="G7" s="14" t="n">
        <v>4</v>
      </c>
      <c r="H7" s="14" t="n">
        <v>1</v>
      </c>
      <c r="I7" s="14" t="n">
        <v>2</v>
      </c>
      <c r="J7" s="14" t="n">
        <v>0</v>
      </c>
      <c r="K7" s="20" t="n">
        <f aca="false">IF(OR(I7="",J7="",$G7="",$H7=""),0,IF(AND(I7=$G7,J7=$H7),8,IF(SIGN(I7-J7)=SIGN($G7-$H7),3,0)))</f>
        <v>3</v>
      </c>
      <c r="L7" s="14" t="n">
        <v>2</v>
      </c>
      <c r="M7" s="14" t="n">
        <v>0</v>
      </c>
      <c r="N7" s="20" t="n">
        <f aca="false">IF(OR(L7="",M7="",$G7="",$H7=""),0,IF(AND(L7=$G7,M7=$H7),8,IF(SIGN(L7-M7)=SIGN($G7-$H7),3,0)))</f>
        <v>3</v>
      </c>
      <c r="O7" s="14" t="n">
        <v>1</v>
      </c>
      <c r="P7" s="14" t="n">
        <v>2</v>
      </c>
      <c r="Q7" s="20" t="n">
        <f aca="false">IF(OR(O7="",P7="",$G7="",$H7=""),0,IF(AND(O7=$G7,P7=$H7),8,IF(SIGN(O7-P7)=SIGN($G7-$H7),3,0)))</f>
        <v>0</v>
      </c>
      <c r="R7" s="14" t="n">
        <v>3</v>
      </c>
      <c r="S7" s="14" t="n">
        <v>1</v>
      </c>
      <c r="T7" s="20" t="n">
        <f aca="false">IF(OR(R7="",S7="",$G7="",$H7=""),0,IF(AND(R7=$G7,S7=$H7),8,IF(SIGN(R7-S7)=SIGN($G7-$H7),3,0)))</f>
        <v>3</v>
      </c>
      <c r="U7" s="14" t="n">
        <v>2</v>
      </c>
      <c r="V7" s="14" t="n">
        <v>1</v>
      </c>
      <c r="W7" s="20" t="n">
        <f aca="false">IF(OR(U7="",V7="",$G7="",$H7=""),0,IF(AND(U7=$G7,V7=$H7),8,IF(SIGN(U7-V7)=SIGN($G7-$H7),3,0)))</f>
        <v>3</v>
      </c>
      <c r="X7" s="14" t="n">
        <v>1</v>
      </c>
      <c r="Y7" s="14" t="n">
        <v>1</v>
      </c>
      <c r="Z7" s="20" t="n">
        <f aca="false">IF(OR(X7="",Y7="",$G7="",$H7=""),0,IF(AND(X7=$G7,Y7=$H7),8,IF(SIGN(X7-Y7)=SIGN($G7-$H7),3,0)))</f>
        <v>0</v>
      </c>
      <c r="AA7" s="14" t="n">
        <v>2</v>
      </c>
      <c r="AB7" s="14" t="n">
        <v>1</v>
      </c>
      <c r="AC7" s="20" t="n">
        <f aca="false">IF(OR(AA7="",AB7="",$G7="",$H7=""),0,IF(AND(AA7=$G7,AB7=$H7),8,IF(SIGN(AA7-AB7)=SIGN($G7-$H7),3,0)))</f>
        <v>3</v>
      </c>
      <c r="AD7" s="14" t="n">
        <v>1</v>
      </c>
      <c r="AE7" s="14" t="n">
        <v>1</v>
      </c>
      <c r="AF7" s="20" t="n">
        <f aca="false">IF(OR(AD7="",AE7="",$G7="",$H7=""),0,IF(AND(AD7=$G7,AE7=$H7),8,IF(SIGN(AD7-AE7)=SIGN($G7-$H7),3,0)))</f>
        <v>0</v>
      </c>
      <c r="AG7" s="14" t="n">
        <v>2</v>
      </c>
      <c r="AH7" s="14" t="n">
        <v>1</v>
      </c>
      <c r="AI7" s="20" t="n">
        <f aca="false">IF(OR(AG7="",AH7="",$G7="",$H7=""),0,IF(AND(AG7=$G7,AH7=$H7),8,IF(SIGN(AG7-AH7)=SIGN($G7-$H7),3,0)))</f>
        <v>3</v>
      </c>
    </row>
    <row r="8" customFormat="false" ht="15" hidden="false" customHeight="true" outlineLevel="0" collapsed="false">
      <c r="A8" s="10" t="n">
        <v>5</v>
      </c>
      <c r="B8" s="11" t="n">
        <v>46186</v>
      </c>
      <c r="C8" s="12" t="s">
        <v>45</v>
      </c>
      <c r="D8" s="10" t="s">
        <v>51</v>
      </c>
      <c r="E8" s="13" t="s">
        <v>57</v>
      </c>
      <c r="F8" s="13" t="s">
        <v>58</v>
      </c>
      <c r="G8" s="14"/>
      <c r="H8" s="14"/>
      <c r="I8" s="14" t="n">
        <v>0</v>
      </c>
      <c r="J8" s="14" t="n">
        <v>2</v>
      </c>
      <c r="K8" s="15" t="n">
        <f aca="false">IF(OR(I8="",J8="",$G8="",$H8=""),0,IF(AND(I8=$G8,J8=$H8),8,IF(SIGN(I8-J8)=SIGN($G8-$H8),3,0)))</f>
        <v>0</v>
      </c>
      <c r="L8" s="14"/>
      <c r="M8" s="14"/>
      <c r="N8" s="15" t="n">
        <f aca="false">IF(OR(L8="",M8="",$G8="",$H8=""),0,IF(AND(L8=$G8,M8=$H8),8,IF(SIGN(L8-M8)=SIGN($G8-$H8),3,0)))</f>
        <v>0</v>
      </c>
      <c r="O8" s="14"/>
      <c r="P8" s="14"/>
      <c r="Q8" s="15" t="n">
        <f aca="false">IF(OR(O8="",P8="",$G8="",$H8=""),0,IF(AND(O8=$G8,P8=$H8),8,IF(SIGN(O8-P8)=SIGN($G8-$H8),3,0)))</f>
        <v>0</v>
      </c>
      <c r="R8" s="14" t="n">
        <v>0</v>
      </c>
      <c r="S8" s="14" t="n">
        <v>4</v>
      </c>
      <c r="T8" s="15" t="n">
        <f aca="false">IF(OR(R8="",S8="",$G8="",$H8=""),0,IF(AND(R8=$G8,S8=$H8),8,IF(SIGN(R8-S8)=SIGN($G8-$H8),3,0)))</f>
        <v>0</v>
      </c>
      <c r="U8" s="14"/>
      <c r="V8" s="14"/>
      <c r="W8" s="15" t="n">
        <f aca="false">IF(OR(U8="",V8="",$G8="",$H8=""),0,IF(AND(U8=$G8,V8=$H8),8,IF(SIGN(U8-V8)=SIGN($G8-$H8),3,0)))</f>
        <v>0</v>
      </c>
      <c r="X8" s="14" t="n">
        <v>0</v>
      </c>
      <c r="Y8" s="14" t="n">
        <v>1</v>
      </c>
      <c r="Z8" s="15" t="n">
        <f aca="false">IF(OR(X8="",Y8="",$G8="",$H8=""),0,IF(AND(X8=$G8,Y8=$H8),8,IF(SIGN(X8-Y8)=SIGN($G8-$H8),3,0)))</f>
        <v>0</v>
      </c>
      <c r="AA8" s="14"/>
      <c r="AB8" s="14"/>
      <c r="AC8" s="15" t="n">
        <f aca="false">IF(OR(AA8="",AB8="",$G8="",$H8=""),0,IF(AND(AA8=$G8,AB8=$H8),8,IF(SIGN(AA8-AB8)=SIGN($G8-$H8),3,0)))</f>
        <v>0</v>
      </c>
      <c r="AD8" s="14"/>
      <c r="AE8" s="14"/>
      <c r="AF8" s="15" t="n">
        <f aca="false">IF(OR(AD8="",AE8="",$G8="",$H8=""),0,IF(AND(AD8=$G8,AE8=$H8),8,IF(SIGN(AD8-AE8)=SIGN($G8-$H8),3,0)))</f>
        <v>0</v>
      </c>
      <c r="AG8" s="14"/>
      <c r="AH8" s="14"/>
      <c r="AI8" s="15" t="n">
        <f aca="false">IF(OR(AG8="",AH8="",$G8="",$H8=""),0,IF(AND(AG8=$G8,AH8=$H8),8,IF(SIGN(AG8-AH8)=SIGN($G8-$H8),3,0)))</f>
        <v>0</v>
      </c>
    </row>
    <row r="9" customFormat="false" ht="15" hidden="false" customHeight="true" outlineLevel="0" collapsed="false">
      <c r="A9" s="16" t="n">
        <v>6</v>
      </c>
      <c r="B9" s="17" t="n">
        <v>46186</v>
      </c>
      <c r="C9" s="18" t="s">
        <v>45</v>
      </c>
      <c r="D9" s="16" t="s">
        <v>59</v>
      </c>
      <c r="E9" s="19" t="s">
        <v>60</v>
      </c>
      <c r="F9" s="19" t="s">
        <v>61</v>
      </c>
      <c r="G9" s="14"/>
      <c r="H9" s="14"/>
      <c r="I9" s="14" t="n">
        <v>3</v>
      </c>
      <c r="J9" s="14" t="n">
        <v>1</v>
      </c>
      <c r="K9" s="20" t="n">
        <f aca="false">IF(OR(I9="",J9="",$G9="",$H9=""),0,IF(AND(I9=$G9,J9=$H9),8,IF(SIGN(I9-J9)=SIGN($G9-$H9),3,0)))</f>
        <v>0</v>
      </c>
      <c r="L9" s="14"/>
      <c r="M9" s="14"/>
      <c r="N9" s="20" t="n">
        <f aca="false">IF(OR(L9="",M9="",$G9="",$H9=""),0,IF(AND(L9=$G9,M9=$H9),8,IF(SIGN(L9-M9)=SIGN($G9-$H9),3,0)))</f>
        <v>0</v>
      </c>
      <c r="O9" s="14"/>
      <c r="P9" s="14"/>
      <c r="Q9" s="20" t="n">
        <f aca="false">IF(OR(O9="",P9="",$G9="",$H9=""),0,IF(AND(O9=$G9,P9=$H9),8,IF(SIGN(O9-P9)=SIGN($G9-$H9),3,0)))</f>
        <v>0</v>
      </c>
      <c r="R9" s="14" t="n">
        <v>3</v>
      </c>
      <c r="S9" s="14" t="n">
        <v>1</v>
      </c>
      <c r="T9" s="20" t="n">
        <f aca="false">IF(OR(R9="",S9="",$G9="",$H9=""),0,IF(AND(R9=$G9,S9=$H9),8,IF(SIGN(R9-S9)=SIGN($G9-$H9),3,0)))</f>
        <v>0</v>
      </c>
      <c r="U9" s="14"/>
      <c r="V9" s="14"/>
      <c r="W9" s="20" t="n">
        <f aca="false">IF(OR(U9="",V9="",$G9="",$H9=""),0,IF(AND(U9=$G9,V9=$H9),8,IF(SIGN(U9-V9)=SIGN($G9-$H9),3,0)))</f>
        <v>0</v>
      </c>
      <c r="X9" s="14" t="n">
        <v>3</v>
      </c>
      <c r="Y9" s="14" t="n">
        <v>1</v>
      </c>
      <c r="Z9" s="20" t="n">
        <f aca="false">IF(OR(X9="",Y9="",$G9="",$H9=""),0,IF(AND(X9=$G9,Y9=$H9),8,IF(SIGN(X9-Y9)=SIGN($G9-$H9),3,0)))</f>
        <v>0</v>
      </c>
      <c r="AA9" s="14"/>
      <c r="AB9" s="14"/>
      <c r="AC9" s="20" t="n">
        <f aca="false">IF(OR(AA9="",AB9="",$G9="",$H9=""),0,IF(AND(AA9=$G9,AB9=$H9),8,IF(SIGN(AA9-AB9)=SIGN($G9-$H9),3,0)))</f>
        <v>0</v>
      </c>
      <c r="AD9" s="14"/>
      <c r="AE9" s="14"/>
      <c r="AF9" s="20" t="n">
        <f aca="false">IF(OR(AD9="",AE9="",$G9="",$H9=""),0,IF(AND(AD9=$G9,AE9=$H9),8,IF(SIGN(AD9-AE9)=SIGN($G9-$H9),3,0)))</f>
        <v>0</v>
      </c>
      <c r="AG9" s="14"/>
      <c r="AH9" s="14"/>
      <c r="AI9" s="20" t="n">
        <f aca="false">IF(OR(AG9="",AH9="",$G9="",$H9=""),0,IF(AND(AG9=$G9,AH9=$H9),8,IF(SIGN(AG9-AH9)=SIGN($G9-$H9),3,0)))</f>
        <v>0</v>
      </c>
    </row>
    <row r="10" customFormat="false" ht="15" hidden="false" customHeight="true" outlineLevel="0" collapsed="false">
      <c r="A10" s="10" t="n">
        <v>7</v>
      </c>
      <c r="B10" s="11" t="n">
        <v>46186</v>
      </c>
      <c r="C10" s="12" t="s">
        <v>45</v>
      </c>
      <c r="D10" s="10" t="s">
        <v>59</v>
      </c>
      <c r="E10" s="13" t="s">
        <v>62</v>
      </c>
      <c r="F10" s="13" t="s">
        <v>63</v>
      </c>
      <c r="G10" s="14"/>
      <c r="H10" s="14"/>
      <c r="I10" s="14" t="n">
        <v>0</v>
      </c>
      <c r="J10" s="14" t="n">
        <v>2</v>
      </c>
      <c r="K10" s="15" t="n">
        <f aca="false">IF(OR(I10="",J10="",$G10="",$H10=""),0,IF(AND(I10=$G10,J10=$H10),8,IF(SIGN(I10-J10)=SIGN($G10-$H10),3,0)))</f>
        <v>0</v>
      </c>
      <c r="L10" s="14"/>
      <c r="M10" s="14"/>
      <c r="N10" s="15" t="n">
        <f aca="false">IF(OR(L10="",M10="",$G10="",$H10=""),0,IF(AND(L10=$G10,M10=$H10),8,IF(SIGN(L10-M10)=SIGN($G10-$H10),3,0)))</f>
        <v>0</v>
      </c>
      <c r="O10" s="14"/>
      <c r="P10" s="14"/>
      <c r="Q10" s="15" t="n">
        <f aca="false">IF(OR(O10="",P10="",$G10="",$H10=""),0,IF(AND(O10=$G10,P10=$H10),8,IF(SIGN(O10-P10)=SIGN($G10-$H10),3,0)))</f>
        <v>0</v>
      </c>
      <c r="R10" s="14" t="n">
        <v>0</v>
      </c>
      <c r="S10" s="14" t="n">
        <v>4</v>
      </c>
      <c r="T10" s="15" t="n">
        <f aca="false">IF(OR(R10="",S10="",$G10="",$H10=""),0,IF(AND(R10=$G10,S10=$H10),8,IF(SIGN(R10-S10)=SIGN($G10-$H10),3,0)))</f>
        <v>0</v>
      </c>
      <c r="U10" s="14"/>
      <c r="V10" s="14"/>
      <c r="W10" s="15" t="n">
        <f aca="false">IF(OR(U10="",V10="",$G10="",$H10=""),0,IF(AND(U10=$G10,V10=$H10),8,IF(SIGN(U10-V10)=SIGN($G10-$H10),3,0)))</f>
        <v>0</v>
      </c>
      <c r="X10" s="14" t="n">
        <v>0</v>
      </c>
      <c r="Y10" s="14" t="n">
        <v>1</v>
      </c>
      <c r="Z10" s="15" t="n">
        <f aca="false">IF(OR(X10="",Y10="",$G10="",$H10=""),0,IF(AND(X10=$G10,Y10=$H10),8,IF(SIGN(X10-Y10)=SIGN($G10-$H10),3,0)))</f>
        <v>0</v>
      </c>
      <c r="AA10" s="14"/>
      <c r="AB10" s="14"/>
      <c r="AC10" s="15" t="n">
        <f aca="false">IF(OR(AA10="",AB10="",$G10="",$H10=""),0,IF(AND(AA10=$G10,AB10=$H10),8,IF(SIGN(AA10-AB10)=SIGN($G10-$H10),3,0)))</f>
        <v>0</v>
      </c>
      <c r="AD10" s="14"/>
      <c r="AE10" s="14"/>
      <c r="AF10" s="15" t="n">
        <f aca="false">IF(OR(AD10="",AE10="",$G10="",$H10=""),0,IF(AND(AD10=$G10,AE10=$H10),8,IF(SIGN(AD10-AE10)=SIGN($G10-$H10),3,0)))</f>
        <v>0</v>
      </c>
      <c r="AG10" s="14"/>
      <c r="AH10" s="14"/>
      <c r="AI10" s="15" t="n">
        <f aca="false">IF(OR(AG10="",AH10="",$G10="",$H10=""),0,IF(AND(AG10=$G10,AH10=$H10),8,IF(SIGN(AG10-AH10)=SIGN($G10-$H10),3,0)))</f>
        <v>0</v>
      </c>
    </row>
    <row r="11" customFormat="false" ht="15" hidden="false" customHeight="true" outlineLevel="0" collapsed="false">
      <c r="A11" s="16" t="n">
        <v>8</v>
      </c>
      <c r="B11" s="17" t="n">
        <v>46186</v>
      </c>
      <c r="C11" s="18" t="s">
        <v>45</v>
      </c>
      <c r="D11" s="16" t="s">
        <v>54</v>
      </c>
      <c r="E11" s="19" t="s">
        <v>64</v>
      </c>
      <c r="F11" s="19" t="s">
        <v>65</v>
      </c>
      <c r="G11" s="14"/>
      <c r="H11" s="14"/>
      <c r="I11" s="14" t="n">
        <v>0</v>
      </c>
      <c r="J11" s="14" t="n">
        <v>1</v>
      </c>
      <c r="K11" s="20" t="n">
        <f aca="false">IF(OR(I11="",J11="",$G11="",$H11=""),0,IF(AND(I11=$G11,J11=$H11),8,IF(SIGN(I11-J11)=SIGN($G11-$H11),3,0)))</f>
        <v>0</v>
      </c>
      <c r="L11" s="14"/>
      <c r="M11" s="14"/>
      <c r="N11" s="20" t="n">
        <f aca="false">IF(OR(L11="",M11="",$G11="",$H11=""),0,IF(AND(L11=$G11,M11=$H11),8,IF(SIGN(L11-M11)=SIGN($G11-$H11),3,0)))</f>
        <v>0</v>
      </c>
      <c r="O11" s="14"/>
      <c r="P11" s="14"/>
      <c r="Q11" s="20" t="n">
        <f aca="false">IF(OR(O11="",P11="",$G11="",$H11=""),0,IF(AND(O11=$G11,P11=$H11),8,IF(SIGN(O11-P11)=SIGN($G11-$H11),3,0)))</f>
        <v>0</v>
      </c>
      <c r="R11" s="14" t="n">
        <v>1</v>
      </c>
      <c r="S11" s="14" t="n">
        <v>3</v>
      </c>
      <c r="T11" s="20" t="n">
        <f aca="false">IF(OR(R11="",S11="",$G11="",$H11=""),0,IF(AND(R11=$G11,S11=$H11),8,IF(SIGN(R11-S11)=SIGN($G11-$H11),3,0)))</f>
        <v>0</v>
      </c>
      <c r="U11" s="14"/>
      <c r="V11" s="14"/>
      <c r="W11" s="20" t="n">
        <f aca="false">IF(OR(U11="",V11="",$G11="",$H11=""),0,IF(AND(U11=$G11,V11=$H11),8,IF(SIGN(U11-V11)=SIGN($G11-$H11),3,0)))</f>
        <v>0</v>
      </c>
      <c r="X11" s="14" t="n">
        <v>1</v>
      </c>
      <c r="Y11" s="14" t="n">
        <v>3</v>
      </c>
      <c r="Z11" s="20" t="n">
        <f aca="false">IF(OR(X11="",Y11="",$G11="",$H11=""),0,IF(AND(X11=$G11,Y11=$H11),8,IF(SIGN(X11-Y11)=SIGN($G11-$H11),3,0)))</f>
        <v>0</v>
      </c>
      <c r="AA11" s="14"/>
      <c r="AB11" s="14"/>
      <c r="AC11" s="20" t="n">
        <f aca="false">IF(OR(AA11="",AB11="",$G11="",$H11=""),0,IF(AND(AA11=$G11,AB11=$H11),8,IF(SIGN(AA11-AB11)=SIGN($G11-$H11),3,0)))</f>
        <v>0</v>
      </c>
      <c r="AD11" s="14"/>
      <c r="AE11" s="14"/>
      <c r="AF11" s="20" t="n">
        <f aca="false">IF(OR(AD11="",AE11="",$G11="",$H11=""),0,IF(AND(AD11=$G11,AE11=$H11),8,IF(SIGN(AD11-AE11)=SIGN($G11-$H11),3,0)))</f>
        <v>0</v>
      </c>
      <c r="AG11" s="14"/>
      <c r="AH11" s="14"/>
      <c r="AI11" s="20" t="n">
        <f aca="false">IF(OR(AG11="",AH11="",$G11="",$H11=""),0,IF(AND(AG11=$G11,AH11=$H11),8,IF(SIGN(AG11-AH11)=SIGN($G11-$H11),3,0)))</f>
        <v>0</v>
      </c>
    </row>
    <row r="12" customFormat="false" ht="15" hidden="false" customHeight="true" outlineLevel="0" collapsed="false">
      <c r="A12" s="10" t="n">
        <v>9</v>
      </c>
      <c r="B12" s="11" t="n">
        <v>46187</v>
      </c>
      <c r="C12" s="12" t="s">
        <v>45</v>
      </c>
      <c r="D12" s="10" t="s">
        <v>66</v>
      </c>
      <c r="E12" s="13" t="s">
        <v>67</v>
      </c>
      <c r="F12" s="13" t="s">
        <v>68</v>
      </c>
      <c r="G12" s="14"/>
      <c r="H12" s="14"/>
      <c r="I12" s="14"/>
      <c r="J12" s="14"/>
      <c r="K12" s="15" t="n">
        <f aca="false">IF(OR(I12="",J12="",$G12="",$H12=""),0,IF(AND(I12=$G12,J12=$H12),8,IF(SIGN(I12-J12)=SIGN($G12-$H12),3,0)))</f>
        <v>0</v>
      </c>
      <c r="L12" s="14"/>
      <c r="M12" s="14"/>
      <c r="N12" s="15" t="n">
        <f aca="false">IF(OR(L12="",M12="",$G12="",$H12=""),0,IF(AND(L12=$G12,M12=$H12),8,IF(SIGN(L12-M12)=SIGN($G12-$H12),3,0)))</f>
        <v>0</v>
      </c>
      <c r="O12" s="14"/>
      <c r="P12" s="14"/>
      <c r="Q12" s="15" t="n">
        <f aca="false">IF(OR(O12="",P12="",$G12="",$H12=""),0,IF(AND(O12=$G12,P12=$H12),8,IF(SIGN(O12-P12)=SIGN($G12-$H12),3,0)))</f>
        <v>0</v>
      </c>
      <c r="R12" s="14" t="n">
        <v>7</v>
      </c>
      <c r="S12" s="14" t="n">
        <v>0</v>
      </c>
      <c r="T12" s="15" t="n">
        <f aca="false">IF(OR(R12="",S12="",$G12="",$H12=""),0,IF(AND(R12=$G12,S12=$H12),8,IF(SIGN(R12-S12)=SIGN($G12-$H12),3,0)))</f>
        <v>0</v>
      </c>
      <c r="U12" s="14"/>
      <c r="V12" s="14"/>
      <c r="W12" s="15" t="n">
        <f aca="false">IF(OR(U12="",V12="",$G12="",$H12=""),0,IF(AND(U12=$G12,V12=$H12),8,IF(SIGN(U12-V12)=SIGN($G12-$H12),3,0)))</f>
        <v>0</v>
      </c>
      <c r="X12" s="14" t="n">
        <v>3</v>
      </c>
      <c r="Y12" s="14" t="n">
        <v>0</v>
      </c>
      <c r="Z12" s="15" t="n">
        <f aca="false">IF(OR(X12="",Y12="",$G12="",$H12=""),0,IF(AND(X12=$G12,Y12=$H12),8,IF(SIGN(X12-Y12)=SIGN($G12-$H12),3,0)))</f>
        <v>0</v>
      </c>
      <c r="AA12" s="14"/>
      <c r="AB12" s="14"/>
      <c r="AC12" s="15" t="n">
        <f aca="false">IF(OR(AA12="",AB12="",$G12="",$H12=""),0,IF(AND(AA12=$G12,AB12=$H12),8,IF(SIGN(AA12-AB12)=SIGN($G12-$H12),3,0)))</f>
        <v>0</v>
      </c>
      <c r="AD12" s="14"/>
      <c r="AE12" s="14"/>
      <c r="AF12" s="15" t="n">
        <f aca="false">IF(OR(AD12="",AE12="",$G12="",$H12=""),0,IF(AND(AD12=$G12,AE12=$H12),8,IF(SIGN(AD12-AE12)=SIGN($G12-$H12),3,0)))</f>
        <v>0</v>
      </c>
      <c r="AG12" s="14"/>
      <c r="AH12" s="14"/>
      <c r="AI12" s="15" t="n">
        <f aca="false">IF(OR(AG12="",AH12="",$G12="",$H12=""),0,IF(AND(AG12=$G12,AH12=$H12),8,IF(SIGN(AG12-AH12)=SIGN($G12-$H12),3,0)))</f>
        <v>0</v>
      </c>
    </row>
    <row r="13" customFormat="false" ht="15" hidden="false" customHeight="true" outlineLevel="0" collapsed="false">
      <c r="A13" s="16" t="n">
        <v>10</v>
      </c>
      <c r="B13" s="17" t="n">
        <v>46187</v>
      </c>
      <c r="C13" s="18" t="s">
        <v>45</v>
      </c>
      <c r="D13" s="16" t="s">
        <v>69</v>
      </c>
      <c r="E13" s="19" t="s">
        <v>70</v>
      </c>
      <c r="F13" s="19" t="s">
        <v>71</v>
      </c>
      <c r="G13" s="14"/>
      <c r="H13" s="14"/>
      <c r="I13" s="14"/>
      <c r="J13" s="14"/>
      <c r="K13" s="20" t="n">
        <f aca="false">IF(OR(I13="",J13="",$G13="",$H13=""),0,IF(AND(I13=$G13,J13=$H13),8,IF(SIGN(I13-J13)=SIGN($G13-$H13),3,0)))</f>
        <v>0</v>
      </c>
      <c r="L13" s="14"/>
      <c r="M13" s="14"/>
      <c r="N13" s="20" t="n">
        <f aca="false">IF(OR(L13="",M13="",$G13="",$H13=""),0,IF(AND(L13=$G13,M13=$H13),8,IF(SIGN(L13-M13)=SIGN($G13-$H13),3,0)))</f>
        <v>0</v>
      </c>
      <c r="O13" s="14"/>
      <c r="P13" s="14"/>
      <c r="Q13" s="20" t="n">
        <f aca="false">IF(OR(O13="",P13="",$G13="",$H13=""),0,IF(AND(O13=$G13,P13=$H13),8,IF(SIGN(O13-P13)=SIGN($G13-$H13),3,0)))</f>
        <v>0</v>
      </c>
      <c r="R13" s="14" t="n">
        <v>2</v>
      </c>
      <c r="S13" s="14" t="n">
        <v>1</v>
      </c>
      <c r="T13" s="20" t="n">
        <f aca="false">IF(OR(R13="",S13="",$G13="",$H13=""),0,IF(AND(R13=$G13,S13=$H13),8,IF(SIGN(R13-S13)=SIGN($G13-$H13),3,0)))</f>
        <v>0</v>
      </c>
      <c r="U13" s="14"/>
      <c r="V13" s="14"/>
      <c r="W13" s="20" t="n">
        <f aca="false">IF(OR(U13="",V13="",$G13="",$H13=""),0,IF(AND(U13=$G13,V13=$H13),8,IF(SIGN(U13-V13)=SIGN($G13-$H13),3,0)))</f>
        <v>0</v>
      </c>
      <c r="X13" s="14" t="n">
        <v>1</v>
      </c>
      <c r="Y13" s="14" t="n">
        <v>1</v>
      </c>
      <c r="Z13" s="20" t="n">
        <f aca="false">IF(OR(X13="",Y13="",$G13="",$H13=""),0,IF(AND(X13=$G13,Y13=$H13),8,IF(SIGN(X13-Y13)=SIGN($G13-$H13),3,0)))</f>
        <v>0</v>
      </c>
      <c r="AA13" s="14"/>
      <c r="AB13" s="14"/>
      <c r="AC13" s="20" t="n">
        <f aca="false">IF(OR(AA13="",AB13="",$G13="",$H13=""),0,IF(AND(AA13=$G13,AB13=$H13),8,IF(SIGN(AA13-AB13)=SIGN($G13-$H13),3,0)))</f>
        <v>0</v>
      </c>
      <c r="AD13" s="14"/>
      <c r="AE13" s="14"/>
      <c r="AF13" s="20" t="n">
        <f aca="false">IF(OR(AD13="",AE13="",$G13="",$H13=""),0,IF(AND(AD13=$G13,AE13=$H13),8,IF(SIGN(AD13-AE13)=SIGN($G13-$H13),3,0)))</f>
        <v>0</v>
      </c>
      <c r="AG13" s="14"/>
      <c r="AH13" s="14"/>
      <c r="AI13" s="20" t="n">
        <f aca="false">IF(OR(AG13="",AH13="",$G13="",$H13=""),0,IF(AND(AG13=$G13,AH13=$H13),8,IF(SIGN(AG13-AH13)=SIGN($G13-$H13),3,0)))</f>
        <v>0</v>
      </c>
    </row>
    <row r="14" customFormat="false" ht="15" hidden="false" customHeight="true" outlineLevel="0" collapsed="false">
      <c r="A14" s="10" t="n">
        <v>11</v>
      </c>
      <c r="B14" s="11" t="n">
        <v>46187</v>
      </c>
      <c r="C14" s="12" t="s">
        <v>45</v>
      </c>
      <c r="D14" s="10" t="s">
        <v>66</v>
      </c>
      <c r="E14" s="13" t="s">
        <v>72</v>
      </c>
      <c r="F14" s="13" t="s">
        <v>73</v>
      </c>
      <c r="G14" s="14"/>
      <c r="H14" s="14"/>
      <c r="I14" s="14"/>
      <c r="J14" s="14"/>
      <c r="K14" s="15" t="n">
        <f aca="false">IF(OR(I14="",J14="",$G14="",$H14=""),0,IF(AND(I14=$G14,J14=$H14),8,IF(SIGN(I14-J14)=SIGN($G14-$H14),3,0)))</f>
        <v>0</v>
      </c>
      <c r="L14" s="14"/>
      <c r="M14" s="14"/>
      <c r="N14" s="15" t="n">
        <f aca="false">IF(OR(L14="",M14="",$G14="",$H14=""),0,IF(AND(L14=$G14,M14=$H14),8,IF(SIGN(L14-M14)=SIGN($G14-$H14),3,0)))</f>
        <v>0</v>
      </c>
      <c r="O14" s="14"/>
      <c r="P14" s="14"/>
      <c r="Q14" s="15" t="n">
        <f aca="false">IF(OR(O14="",P14="",$G14="",$H14=""),0,IF(AND(O14=$G14,P14=$H14),8,IF(SIGN(O14-P14)=SIGN($G14-$H14),3,0)))</f>
        <v>0</v>
      </c>
      <c r="R14" s="14"/>
      <c r="S14" s="14"/>
      <c r="T14" s="15" t="n">
        <f aca="false">IF(OR(R14="",S14="",$G14="",$H14=""),0,IF(AND(R14=$G14,S14=$H14),8,IF(SIGN(R14-S14)=SIGN($G14-$H14),3,0)))</f>
        <v>0</v>
      </c>
      <c r="U14" s="14"/>
      <c r="V14" s="14"/>
      <c r="W14" s="15" t="n">
        <f aca="false">IF(OR(U14="",V14="",$G14="",$H14=""),0,IF(AND(U14=$G14,V14=$H14),8,IF(SIGN(U14-V14)=SIGN($G14-$H14),3,0)))</f>
        <v>0</v>
      </c>
      <c r="X14" s="14" t="n">
        <v>1</v>
      </c>
      <c r="Y14" s="14" t="n">
        <v>2</v>
      </c>
      <c r="Z14" s="15" t="n">
        <f aca="false">IF(OR(X14="",Y14="",$G14="",$H14=""),0,IF(AND(X14=$G14,Y14=$H14),8,IF(SIGN(X14-Y14)=SIGN($G14-$H14),3,0)))</f>
        <v>0</v>
      </c>
      <c r="AA14" s="14"/>
      <c r="AB14" s="14"/>
      <c r="AC14" s="15" t="n">
        <f aca="false">IF(OR(AA14="",AB14="",$G14="",$H14=""),0,IF(AND(AA14=$G14,AB14=$H14),8,IF(SIGN(AA14-AB14)=SIGN($G14-$H14),3,0)))</f>
        <v>0</v>
      </c>
      <c r="AD14" s="14"/>
      <c r="AE14" s="14"/>
      <c r="AF14" s="15" t="n">
        <f aca="false">IF(OR(AD14="",AE14="",$G14="",$H14=""),0,IF(AND(AD14=$G14,AE14=$H14),8,IF(SIGN(AD14-AE14)=SIGN($G14-$H14),3,0)))</f>
        <v>0</v>
      </c>
      <c r="AG14" s="14"/>
      <c r="AH14" s="14"/>
      <c r="AI14" s="15" t="n">
        <f aca="false">IF(OR(AG14="",AH14="",$G14="",$H14=""),0,IF(AND(AG14=$G14,AH14=$H14),8,IF(SIGN(AG14-AH14)=SIGN($G14-$H14),3,0)))</f>
        <v>0</v>
      </c>
    </row>
    <row r="15" customFormat="false" ht="15" hidden="false" customHeight="true" outlineLevel="0" collapsed="false">
      <c r="A15" s="16" t="n">
        <v>12</v>
      </c>
      <c r="B15" s="17" t="n">
        <v>46187</v>
      </c>
      <c r="C15" s="18" t="s">
        <v>45</v>
      </c>
      <c r="D15" s="16" t="s">
        <v>69</v>
      </c>
      <c r="E15" s="19" t="s">
        <v>74</v>
      </c>
      <c r="F15" s="19" t="s">
        <v>75</v>
      </c>
      <c r="G15" s="14"/>
      <c r="H15" s="14"/>
      <c r="I15" s="14"/>
      <c r="J15" s="14"/>
      <c r="K15" s="20" t="n">
        <f aca="false">IF(OR(I15="",J15="",$G15="",$H15=""),0,IF(AND(I15=$G15,J15=$H15),8,IF(SIGN(I15-J15)=SIGN($G15-$H15),3,0)))</f>
        <v>0</v>
      </c>
      <c r="L15" s="14"/>
      <c r="M15" s="14"/>
      <c r="N15" s="20" t="n">
        <f aca="false">IF(OR(L15="",M15="",$G15="",$H15=""),0,IF(AND(L15=$G15,M15=$H15),8,IF(SIGN(L15-M15)=SIGN($G15-$H15),3,0)))</f>
        <v>0</v>
      </c>
      <c r="O15" s="14"/>
      <c r="P15" s="14"/>
      <c r="Q15" s="20" t="n">
        <f aca="false">IF(OR(O15="",P15="",$G15="",$H15=""),0,IF(AND(O15=$G15,P15=$H15),8,IF(SIGN(O15-P15)=SIGN($G15-$H15),3,0)))</f>
        <v>0</v>
      </c>
      <c r="R15" s="14"/>
      <c r="S15" s="14"/>
      <c r="T15" s="20" t="n">
        <f aca="false">IF(OR(R15="",S15="",$G15="",$H15=""),0,IF(AND(R15=$G15,S15=$H15),8,IF(SIGN(R15-S15)=SIGN($G15-$H15),3,0)))</f>
        <v>0</v>
      </c>
      <c r="U15" s="14"/>
      <c r="V15" s="14"/>
      <c r="W15" s="20" t="n">
        <f aca="false">IF(OR(U15="",V15="",$G15="",$H15=""),0,IF(AND(U15=$G15,V15=$H15),8,IF(SIGN(U15-V15)=SIGN($G15-$H15),3,0)))</f>
        <v>0</v>
      </c>
      <c r="X15" s="14" t="n">
        <v>0</v>
      </c>
      <c r="Y15" s="14" t="n">
        <v>1</v>
      </c>
      <c r="Z15" s="20" t="n">
        <f aca="false">IF(OR(X15="",Y15="",$G15="",$H15=""),0,IF(AND(X15=$G15,Y15=$H15),8,IF(SIGN(X15-Y15)=SIGN($G15-$H15),3,0)))</f>
        <v>0</v>
      </c>
      <c r="AA15" s="14"/>
      <c r="AB15" s="14"/>
      <c r="AC15" s="20" t="n">
        <f aca="false">IF(OR(AA15="",AB15="",$G15="",$H15=""),0,IF(AND(AA15=$G15,AB15=$H15),8,IF(SIGN(AA15-AB15)=SIGN($G15-$H15),3,0)))</f>
        <v>0</v>
      </c>
      <c r="AD15" s="14"/>
      <c r="AE15" s="14"/>
      <c r="AF15" s="20" t="n">
        <f aca="false">IF(OR(AD15="",AE15="",$G15="",$H15=""),0,IF(AND(AD15=$G15,AE15=$H15),8,IF(SIGN(AD15-AE15)=SIGN($G15-$H15),3,0)))</f>
        <v>0</v>
      </c>
      <c r="AG15" s="14"/>
      <c r="AH15" s="14"/>
      <c r="AI15" s="20" t="n">
        <f aca="false">IF(OR(AG15="",AH15="",$G15="",$H15=""),0,IF(AND(AG15=$G15,AH15=$H15),8,IF(SIGN(AG15-AH15)=SIGN($G15-$H15),3,0)))</f>
        <v>0</v>
      </c>
    </row>
    <row r="16" customFormat="false" ht="15" hidden="false" customHeight="true" outlineLevel="0" collapsed="false">
      <c r="A16" s="10" t="n">
        <v>13</v>
      </c>
      <c r="B16" s="11" t="n">
        <v>46188</v>
      </c>
      <c r="C16" s="12" t="s">
        <v>45</v>
      </c>
      <c r="D16" s="10" t="s">
        <v>76</v>
      </c>
      <c r="E16" s="13" t="s">
        <v>77</v>
      </c>
      <c r="F16" s="13" t="s">
        <v>78</v>
      </c>
      <c r="G16" s="14"/>
      <c r="H16" s="14"/>
      <c r="I16" s="14"/>
      <c r="J16" s="14"/>
      <c r="K16" s="15" t="n">
        <f aca="false">IF(OR(I16="",J16="",$G16="",$H16=""),0,IF(AND(I16=$G16,J16=$H16),8,IF(SIGN(I16-J16)=SIGN($G16-$H16),3,0)))</f>
        <v>0</v>
      </c>
      <c r="L16" s="14"/>
      <c r="M16" s="14"/>
      <c r="N16" s="15" t="n">
        <f aca="false">IF(OR(L16="",M16="",$G16="",$H16=""),0,IF(AND(L16=$G16,M16=$H16),8,IF(SIGN(L16-M16)=SIGN($G16-$H16),3,0)))</f>
        <v>0</v>
      </c>
      <c r="O16" s="14"/>
      <c r="P16" s="14"/>
      <c r="Q16" s="15" t="n">
        <f aca="false">IF(OR(O16="",P16="",$G16="",$H16=""),0,IF(AND(O16=$G16,P16=$H16),8,IF(SIGN(O16-P16)=SIGN($G16-$H16),3,0)))</f>
        <v>0</v>
      </c>
      <c r="R16" s="14"/>
      <c r="S16" s="14"/>
      <c r="T16" s="15" t="n">
        <f aca="false">IF(OR(R16="",S16="",$G16="",$H16=""),0,IF(AND(R16=$G16,S16=$H16),8,IF(SIGN(R16-S16)=SIGN($G16-$H16),3,0)))</f>
        <v>0</v>
      </c>
      <c r="U16" s="14"/>
      <c r="V16" s="14"/>
      <c r="W16" s="15" t="n">
        <f aca="false">IF(OR(U16="",V16="",$G16="",$H16=""),0,IF(AND(U16=$G16,V16=$H16),8,IF(SIGN(U16-V16)=SIGN($G16-$H16),3,0)))</f>
        <v>0</v>
      </c>
      <c r="X16" s="14" t="n">
        <v>3</v>
      </c>
      <c r="Y16" s="14" t="n">
        <v>0</v>
      </c>
      <c r="Z16" s="15" t="n">
        <f aca="false">IF(OR(X16="",Y16="",$G16="",$H16=""),0,IF(AND(X16=$G16,Y16=$H16),8,IF(SIGN(X16-Y16)=SIGN($G16-$H16),3,0)))</f>
        <v>0</v>
      </c>
      <c r="AA16" s="14"/>
      <c r="AB16" s="14"/>
      <c r="AC16" s="15" t="n">
        <f aca="false">IF(OR(AA16="",AB16="",$G16="",$H16=""),0,IF(AND(AA16=$G16,AB16=$H16),8,IF(SIGN(AA16-AB16)=SIGN($G16-$H16),3,0)))</f>
        <v>0</v>
      </c>
      <c r="AD16" s="14"/>
      <c r="AE16" s="14"/>
      <c r="AF16" s="15" t="n">
        <f aca="false">IF(OR(AD16="",AE16="",$G16="",$H16=""),0,IF(AND(AD16=$G16,AE16=$H16),8,IF(SIGN(AD16-AE16)=SIGN($G16-$H16),3,0)))</f>
        <v>0</v>
      </c>
      <c r="AG16" s="14"/>
      <c r="AH16" s="14"/>
      <c r="AI16" s="15" t="n">
        <f aca="false">IF(OR(AG16="",AH16="",$G16="",$H16=""),0,IF(AND(AG16=$G16,AH16=$H16),8,IF(SIGN(AG16-AH16)=SIGN($G16-$H16),3,0)))</f>
        <v>0</v>
      </c>
    </row>
    <row r="17" customFormat="false" ht="15" hidden="false" customHeight="true" outlineLevel="0" collapsed="false">
      <c r="A17" s="16" t="n">
        <v>14</v>
      </c>
      <c r="B17" s="17" t="n">
        <v>46188</v>
      </c>
      <c r="C17" s="18" t="s">
        <v>45</v>
      </c>
      <c r="D17" s="16" t="s">
        <v>79</v>
      </c>
      <c r="E17" s="19" t="s">
        <v>80</v>
      </c>
      <c r="F17" s="19" t="s">
        <v>81</v>
      </c>
      <c r="G17" s="14"/>
      <c r="H17" s="14"/>
      <c r="I17" s="14"/>
      <c r="J17" s="14"/>
      <c r="K17" s="20" t="n">
        <f aca="false">IF(OR(I17="",J17="",$G17="",$H17=""),0,IF(AND(I17=$G17,J17=$H17),8,IF(SIGN(I17-J17)=SIGN($G17-$H17),3,0)))</f>
        <v>0</v>
      </c>
      <c r="L17" s="14"/>
      <c r="M17" s="14"/>
      <c r="N17" s="20" t="n">
        <f aca="false">IF(OR(L17="",M17="",$G17="",$H17=""),0,IF(AND(L17=$G17,M17=$H17),8,IF(SIGN(L17-M17)=SIGN($G17-$H17),3,0)))</f>
        <v>0</v>
      </c>
      <c r="O17" s="14"/>
      <c r="P17" s="14"/>
      <c r="Q17" s="20" t="n">
        <f aca="false">IF(OR(O17="",P17="",$G17="",$H17=""),0,IF(AND(O17=$G17,P17=$H17),8,IF(SIGN(O17-P17)=SIGN($G17-$H17),3,0)))</f>
        <v>0</v>
      </c>
      <c r="R17" s="14"/>
      <c r="S17" s="14"/>
      <c r="T17" s="20" t="n">
        <f aca="false">IF(OR(R17="",S17="",$G17="",$H17=""),0,IF(AND(R17=$G17,S17=$H17),8,IF(SIGN(R17-S17)=SIGN($G17-$H17),3,0)))</f>
        <v>0</v>
      </c>
      <c r="U17" s="14"/>
      <c r="V17" s="14"/>
      <c r="W17" s="20" t="n">
        <f aca="false">IF(OR(U17="",V17="",$G17="",$H17=""),0,IF(AND(U17=$G17,V17=$H17),8,IF(SIGN(U17-V17)=SIGN($G17-$H17),3,0)))</f>
        <v>0</v>
      </c>
      <c r="X17" s="14" t="n">
        <v>3</v>
      </c>
      <c r="Y17" s="14" t="n">
        <v>2</v>
      </c>
      <c r="Z17" s="20" t="n">
        <f aca="false">IF(OR(X17="",Y17="",$G17="",$H17=""),0,IF(AND(X17=$G17,Y17=$H17),8,IF(SIGN(X17-Y17)=SIGN($G17-$H17),3,0)))</f>
        <v>0</v>
      </c>
      <c r="AA17" s="14"/>
      <c r="AB17" s="14"/>
      <c r="AC17" s="20" t="n">
        <f aca="false">IF(OR(AA17="",AB17="",$G17="",$H17=""),0,IF(AND(AA17=$G17,AB17=$H17),8,IF(SIGN(AA17-AB17)=SIGN($G17-$H17),3,0)))</f>
        <v>0</v>
      </c>
      <c r="AD17" s="14"/>
      <c r="AE17" s="14"/>
      <c r="AF17" s="20" t="n">
        <f aca="false">IF(OR(AD17="",AE17="",$G17="",$H17=""),0,IF(AND(AD17=$G17,AE17=$H17),8,IF(SIGN(AD17-AE17)=SIGN($G17-$H17),3,0)))</f>
        <v>0</v>
      </c>
      <c r="AG17" s="14"/>
      <c r="AH17" s="14"/>
      <c r="AI17" s="20" t="n">
        <f aca="false">IF(OR(AG17="",AH17="",$G17="",$H17=""),0,IF(AND(AG17=$G17,AH17=$H17),8,IF(SIGN(AG17-AH17)=SIGN($G17-$H17),3,0)))</f>
        <v>0</v>
      </c>
    </row>
    <row r="18" customFormat="false" ht="15" hidden="false" customHeight="true" outlineLevel="0" collapsed="false">
      <c r="A18" s="10" t="n">
        <v>15</v>
      </c>
      <c r="B18" s="11" t="n">
        <v>46188</v>
      </c>
      <c r="C18" s="12" t="s">
        <v>45</v>
      </c>
      <c r="D18" s="10" t="s">
        <v>76</v>
      </c>
      <c r="E18" s="13" t="s">
        <v>82</v>
      </c>
      <c r="F18" s="13" t="s">
        <v>83</v>
      </c>
      <c r="G18" s="14"/>
      <c r="H18" s="14"/>
      <c r="I18" s="14"/>
      <c r="J18" s="14"/>
      <c r="K18" s="15" t="n">
        <f aca="false">IF(OR(I18="",J18="",$G18="",$H18=""),0,IF(AND(I18=$G18,J18=$H18),8,IF(SIGN(I18-J18)=SIGN($G18-$H18),3,0)))</f>
        <v>0</v>
      </c>
      <c r="L18" s="14"/>
      <c r="M18" s="14"/>
      <c r="N18" s="15" t="n">
        <f aca="false">IF(OR(L18="",M18="",$G18="",$H18=""),0,IF(AND(L18=$G18,M18=$H18),8,IF(SIGN(L18-M18)=SIGN($G18-$H18),3,0)))</f>
        <v>0</v>
      </c>
      <c r="O18" s="14"/>
      <c r="P18" s="14"/>
      <c r="Q18" s="15" t="n">
        <f aca="false">IF(OR(O18="",P18="",$G18="",$H18=""),0,IF(AND(O18=$G18,P18=$H18),8,IF(SIGN(O18-P18)=SIGN($G18-$H18),3,0)))</f>
        <v>0</v>
      </c>
      <c r="R18" s="14"/>
      <c r="S18" s="14"/>
      <c r="T18" s="15" t="n">
        <f aca="false">IF(OR(R18="",S18="",$G18="",$H18=""),0,IF(AND(R18=$G18,S18=$H18),8,IF(SIGN(R18-S18)=SIGN($G18-$H18),3,0)))</f>
        <v>0</v>
      </c>
      <c r="U18" s="14"/>
      <c r="V18" s="14"/>
      <c r="W18" s="15" t="n">
        <f aca="false">IF(OR(U18="",V18="",$G18="",$H18=""),0,IF(AND(U18=$G18,V18=$H18),8,IF(SIGN(U18-V18)=SIGN($G18-$H18),3,0)))</f>
        <v>0</v>
      </c>
      <c r="X18" s="14" t="n">
        <v>1</v>
      </c>
      <c r="Y18" s="14" t="n">
        <v>1</v>
      </c>
      <c r="Z18" s="15" t="n">
        <f aca="false">IF(OR(X18="",Y18="",$G18="",$H18=""),0,IF(AND(X18=$G18,Y18=$H18),8,IF(SIGN(X18-Y18)=SIGN($G18-$H18),3,0)))</f>
        <v>0</v>
      </c>
      <c r="AA18" s="14"/>
      <c r="AB18" s="14"/>
      <c r="AC18" s="15" t="n">
        <f aca="false">IF(OR(AA18="",AB18="",$G18="",$H18=""),0,IF(AND(AA18=$G18,AB18=$H18),8,IF(SIGN(AA18-AB18)=SIGN($G18-$H18),3,0)))</f>
        <v>0</v>
      </c>
      <c r="AD18" s="14"/>
      <c r="AE18" s="14"/>
      <c r="AF18" s="15" t="n">
        <f aca="false">IF(OR(AD18="",AE18="",$G18="",$H18=""),0,IF(AND(AD18=$G18,AE18=$H18),8,IF(SIGN(AD18-AE18)=SIGN($G18-$H18),3,0)))</f>
        <v>0</v>
      </c>
      <c r="AG18" s="14"/>
      <c r="AH18" s="14"/>
      <c r="AI18" s="15" t="n">
        <f aca="false">IF(OR(AG18="",AH18="",$G18="",$H18=""),0,IF(AND(AG18=$G18,AH18=$H18),8,IF(SIGN(AG18-AH18)=SIGN($G18-$H18),3,0)))</f>
        <v>0</v>
      </c>
    </row>
    <row r="19" customFormat="false" ht="15" hidden="false" customHeight="true" outlineLevel="0" collapsed="false">
      <c r="A19" s="16" t="n">
        <v>16</v>
      </c>
      <c r="B19" s="17" t="n">
        <v>46188</v>
      </c>
      <c r="C19" s="18" t="s">
        <v>45</v>
      </c>
      <c r="D19" s="16" t="s">
        <v>79</v>
      </c>
      <c r="E19" s="19" t="s">
        <v>84</v>
      </c>
      <c r="F19" s="19" t="s">
        <v>85</v>
      </c>
      <c r="G19" s="14"/>
      <c r="H19" s="14"/>
      <c r="I19" s="14"/>
      <c r="J19" s="14"/>
      <c r="K19" s="20" t="n">
        <f aca="false">IF(OR(I19="",J19="",$G19="",$H19=""),0,IF(AND(I19=$G19,J19=$H19),8,IF(SIGN(I19-J19)=SIGN($G19-$H19),3,0)))</f>
        <v>0</v>
      </c>
      <c r="L19" s="14"/>
      <c r="M19" s="14"/>
      <c r="N19" s="20" t="n">
        <f aca="false">IF(OR(L19="",M19="",$G19="",$H19=""),0,IF(AND(L19=$G19,M19=$H19),8,IF(SIGN(L19-M19)=SIGN($G19-$H19),3,0)))</f>
        <v>0</v>
      </c>
      <c r="O19" s="14"/>
      <c r="P19" s="14"/>
      <c r="Q19" s="20" t="n">
        <f aca="false">IF(OR(O19="",P19="",$G19="",$H19=""),0,IF(AND(O19=$G19,P19=$H19),8,IF(SIGN(O19-P19)=SIGN($G19-$H19),3,0)))</f>
        <v>0</v>
      </c>
      <c r="R19" s="14"/>
      <c r="S19" s="14"/>
      <c r="T19" s="20" t="n">
        <f aca="false">IF(OR(R19="",S19="",$G19="",$H19=""),0,IF(AND(R19=$G19,S19=$H19),8,IF(SIGN(R19-S19)=SIGN($G19-$H19),3,0)))</f>
        <v>0</v>
      </c>
      <c r="U19" s="14"/>
      <c r="V19" s="14"/>
      <c r="W19" s="20" t="n">
        <f aca="false">IF(OR(U19="",V19="",$G19="",$H19=""),0,IF(AND(U19=$G19,V19=$H19),8,IF(SIGN(U19-V19)=SIGN($G19-$H19),3,0)))</f>
        <v>0</v>
      </c>
      <c r="X19" s="14" t="n">
        <v>0</v>
      </c>
      <c r="Y19" s="14" t="n">
        <v>0</v>
      </c>
      <c r="Z19" s="20" t="n">
        <f aca="false">IF(OR(X19="",Y19="",$G19="",$H19=""),0,IF(AND(X19=$G19,Y19=$H19),8,IF(SIGN(X19-Y19)=SIGN($G19-$H19),3,0)))</f>
        <v>0</v>
      </c>
      <c r="AA19" s="14"/>
      <c r="AB19" s="14"/>
      <c r="AC19" s="20" t="n">
        <f aca="false">IF(OR(AA19="",AB19="",$G19="",$H19=""),0,IF(AND(AA19=$G19,AB19=$H19),8,IF(SIGN(AA19-AB19)=SIGN($G19-$H19),3,0)))</f>
        <v>0</v>
      </c>
      <c r="AD19" s="14"/>
      <c r="AE19" s="14"/>
      <c r="AF19" s="20" t="n">
        <f aca="false">IF(OR(AD19="",AE19="",$G19="",$H19=""),0,IF(AND(AD19=$G19,AE19=$H19),8,IF(SIGN(AD19-AE19)=SIGN($G19-$H19),3,0)))</f>
        <v>0</v>
      </c>
      <c r="AG19" s="14"/>
      <c r="AH19" s="14"/>
      <c r="AI19" s="20" t="n">
        <f aca="false">IF(OR(AG19="",AH19="",$G19="",$H19=""),0,IF(AND(AG19=$G19,AH19=$H19),8,IF(SIGN(AG19-AH19)=SIGN($G19-$H19),3,0)))</f>
        <v>0</v>
      </c>
    </row>
    <row r="20" customFormat="false" ht="15" hidden="false" customHeight="true" outlineLevel="0" collapsed="false">
      <c r="A20" s="10" t="n">
        <v>17</v>
      </c>
      <c r="B20" s="11" t="n">
        <v>46189</v>
      </c>
      <c r="C20" s="12" t="s">
        <v>45</v>
      </c>
      <c r="D20" s="10" t="s">
        <v>86</v>
      </c>
      <c r="E20" s="13" t="s">
        <v>87</v>
      </c>
      <c r="F20" s="13" t="s">
        <v>88</v>
      </c>
      <c r="G20" s="14"/>
      <c r="H20" s="14"/>
      <c r="I20" s="14"/>
      <c r="J20" s="14"/>
      <c r="K20" s="15" t="n">
        <f aca="false">IF(OR(I20="",J20="",$G20="",$H20=""),0,IF(AND(I20=$G20,J20=$H20),8,IF(SIGN(I20-J20)=SIGN($G20-$H20),3,0)))</f>
        <v>0</v>
      </c>
      <c r="L20" s="14"/>
      <c r="M20" s="14"/>
      <c r="N20" s="15" t="n">
        <f aca="false">IF(OR(L20="",M20="",$G20="",$H20=""),0,IF(AND(L20=$G20,M20=$H20),8,IF(SIGN(L20-M20)=SIGN($G20-$H20),3,0)))</f>
        <v>0</v>
      </c>
      <c r="O20" s="14"/>
      <c r="P20" s="14"/>
      <c r="Q20" s="15" t="n">
        <f aca="false">IF(OR(O20="",P20="",$G20="",$H20=""),0,IF(AND(O20=$G20,P20=$H20),8,IF(SIGN(O20-P20)=SIGN($G20-$H20),3,0)))</f>
        <v>0</v>
      </c>
      <c r="R20" s="14"/>
      <c r="S20" s="14"/>
      <c r="T20" s="15" t="n">
        <f aca="false">IF(OR(R20="",S20="",$G20="",$H20=""),0,IF(AND(R20=$G20,S20=$H20),8,IF(SIGN(R20-S20)=SIGN($G20-$H20),3,0)))</f>
        <v>0</v>
      </c>
      <c r="U20" s="14"/>
      <c r="V20" s="14"/>
      <c r="W20" s="15" t="n">
        <f aca="false">IF(OR(U20="",V20="",$G20="",$H20=""),0,IF(AND(U20=$G20,V20=$H20),8,IF(SIGN(U20-V20)=SIGN($G20-$H20),3,0)))</f>
        <v>0</v>
      </c>
      <c r="X20" s="14" t="n">
        <v>3</v>
      </c>
      <c r="Y20" s="14" t="n">
        <v>0</v>
      </c>
      <c r="Z20" s="15" t="n">
        <f aca="false">IF(OR(X20="",Y20="",$G20="",$H20=""),0,IF(AND(X20=$G20,Y20=$H20),8,IF(SIGN(X20-Y20)=SIGN($G20-$H20),3,0)))</f>
        <v>0</v>
      </c>
      <c r="AA20" s="14"/>
      <c r="AB20" s="14"/>
      <c r="AC20" s="15" t="n">
        <f aca="false">IF(OR(AA20="",AB20="",$G20="",$H20=""),0,IF(AND(AA20=$G20,AB20=$H20),8,IF(SIGN(AA20-AB20)=SIGN($G20-$H20),3,0)))</f>
        <v>0</v>
      </c>
      <c r="AD20" s="14"/>
      <c r="AE20" s="14"/>
      <c r="AF20" s="15" t="n">
        <f aca="false">IF(OR(AD20="",AE20="",$G20="",$H20=""),0,IF(AND(AD20=$G20,AE20=$H20),8,IF(SIGN(AD20-AE20)=SIGN($G20-$H20),3,0)))</f>
        <v>0</v>
      </c>
      <c r="AG20" s="14"/>
      <c r="AH20" s="14"/>
      <c r="AI20" s="15" t="n">
        <f aca="false">IF(OR(AG20="",AH20="",$G20="",$H20=""),0,IF(AND(AG20=$G20,AH20=$H20),8,IF(SIGN(AG20-AH20)=SIGN($G20-$H20),3,0)))</f>
        <v>0</v>
      </c>
    </row>
    <row r="21" customFormat="false" ht="15" hidden="false" customHeight="true" outlineLevel="0" collapsed="false">
      <c r="A21" s="16" t="n">
        <v>18</v>
      </c>
      <c r="B21" s="17" t="n">
        <v>46189</v>
      </c>
      <c r="C21" s="18" t="s">
        <v>45</v>
      </c>
      <c r="D21" s="16" t="s">
        <v>86</v>
      </c>
      <c r="E21" s="19" t="s">
        <v>89</v>
      </c>
      <c r="F21" s="19" t="s">
        <v>90</v>
      </c>
      <c r="G21" s="14"/>
      <c r="H21" s="14"/>
      <c r="I21" s="14"/>
      <c r="J21" s="14"/>
      <c r="K21" s="20" t="n">
        <f aca="false">IF(OR(I21="",J21="",$G21="",$H21=""),0,IF(AND(I21=$G21,J21=$H21),8,IF(SIGN(I21-J21)=SIGN($G21-$H21),3,0)))</f>
        <v>0</v>
      </c>
      <c r="L21" s="14"/>
      <c r="M21" s="14"/>
      <c r="N21" s="20" t="n">
        <f aca="false">IF(OR(L21="",M21="",$G21="",$H21=""),0,IF(AND(L21=$G21,M21=$H21),8,IF(SIGN(L21-M21)=SIGN($G21-$H21),3,0)))</f>
        <v>0</v>
      </c>
      <c r="O21" s="14"/>
      <c r="P21" s="14"/>
      <c r="Q21" s="20" t="n">
        <f aca="false">IF(OR(O21="",P21="",$G21="",$H21=""),0,IF(AND(O21=$G21,P21=$H21),8,IF(SIGN(O21-P21)=SIGN($G21-$H21),3,0)))</f>
        <v>0</v>
      </c>
      <c r="R21" s="14"/>
      <c r="S21" s="14"/>
      <c r="T21" s="20" t="n">
        <f aca="false">IF(OR(R21="",S21="",$G21="",$H21=""),0,IF(AND(R21=$G21,S21=$H21),8,IF(SIGN(R21-S21)=SIGN($G21-$H21),3,0)))</f>
        <v>0</v>
      </c>
      <c r="U21" s="14"/>
      <c r="V21" s="14"/>
      <c r="W21" s="20" t="n">
        <f aca="false">IF(OR(U21="",V21="",$G21="",$H21=""),0,IF(AND(U21=$G21,V21=$H21),8,IF(SIGN(U21-V21)=SIGN($G21-$H21),3,0)))</f>
        <v>0</v>
      </c>
      <c r="X21" s="14" t="n">
        <v>0</v>
      </c>
      <c r="Y21" s="14" t="n">
        <v>3</v>
      </c>
      <c r="Z21" s="20" t="n">
        <f aca="false">IF(OR(X21="",Y21="",$G21="",$H21=""),0,IF(AND(X21=$G21,Y21=$H21),8,IF(SIGN(X21-Y21)=SIGN($G21-$H21),3,0)))</f>
        <v>0</v>
      </c>
      <c r="AA21" s="14"/>
      <c r="AB21" s="14"/>
      <c r="AC21" s="20" t="n">
        <f aca="false">IF(OR(AA21="",AB21="",$G21="",$H21=""),0,IF(AND(AA21=$G21,AB21=$H21),8,IF(SIGN(AA21-AB21)=SIGN($G21-$H21),3,0)))</f>
        <v>0</v>
      </c>
      <c r="AD21" s="14"/>
      <c r="AE21" s="14"/>
      <c r="AF21" s="20" t="n">
        <f aca="false">IF(OR(AD21="",AE21="",$G21="",$H21=""),0,IF(AND(AD21=$G21,AE21=$H21),8,IF(SIGN(AD21-AE21)=SIGN($G21-$H21),3,0)))</f>
        <v>0</v>
      </c>
      <c r="AG21" s="14"/>
      <c r="AH21" s="14"/>
      <c r="AI21" s="20" t="n">
        <f aca="false">IF(OR(AG21="",AH21="",$G21="",$H21=""),0,IF(AND(AG21=$G21,AH21=$H21),8,IF(SIGN(AG21-AH21)=SIGN($G21-$H21),3,0)))</f>
        <v>0</v>
      </c>
    </row>
    <row r="22" customFormat="false" ht="15" hidden="false" customHeight="true" outlineLevel="0" collapsed="false">
      <c r="A22" s="10" t="n">
        <v>19</v>
      </c>
      <c r="B22" s="11" t="n">
        <v>46189</v>
      </c>
      <c r="C22" s="12" t="s">
        <v>45</v>
      </c>
      <c r="D22" s="10" t="s">
        <v>91</v>
      </c>
      <c r="E22" s="13" t="s">
        <v>92</v>
      </c>
      <c r="F22" s="13" t="s">
        <v>93</v>
      </c>
      <c r="G22" s="14"/>
      <c r="H22" s="14"/>
      <c r="I22" s="14"/>
      <c r="J22" s="14"/>
      <c r="K22" s="15" t="n">
        <f aca="false">IF(OR(I22="",J22="",$G22="",$H22=""),0,IF(AND(I22=$G22,J22=$H22),8,IF(SIGN(I22-J22)=SIGN($G22-$H22),3,0)))</f>
        <v>0</v>
      </c>
      <c r="L22" s="14" t="n">
        <v>3</v>
      </c>
      <c r="M22" s="14" t="n">
        <v>0</v>
      </c>
      <c r="N22" s="15" t="n">
        <f aca="false">IF(OR(L22="",M22="",$G22="",$H22=""),0,IF(AND(L22=$G22,M22=$H22),8,IF(SIGN(L22-M22)=SIGN($G22-$H22),3,0)))</f>
        <v>0</v>
      </c>
      <c r="O22" s="14"/>
      <c r="P22" s="14"/>
      <c r="Q22" s="15" t="n">
        <f aca="false">IF(OR(O22="",P22="",$G22="",$H22=""),0,IF(AND(O22=$G22,P22=$H22),8,IF(SIGN(O22-P22)=SIGN($G22-$H22),3,0)))</f>
        <v>0</v>
      </c>
      <c r="R22" s="14"/>
      <c r="S22" s="14"/>
      <c r="T22" s="15" t="n">
        <f aca="false">IF(OR(R22="",S22="",$G22="",$H22=""),0,IF(AND(R22=$G22,S22=$H22),8,IF(SIGN(R22-S22)=SIGN($G22-$H22),3,0)))</f>
        <v>0</v>
      </c>
      <c r="U22" s="14"/>
      <c r="V22" s="14"/>
      <c r="W22" s="15" t="n">
        <f aca="false">IF(OR(U22="",V22="",$G22="",$H22=""),0,IF(AND(U22=$G22,V22=$H22),8,IF(SIGN(U22-V22)=SIGN($G22-$H22),3,0)))</f>
        <v>0</v>
      </c>
      <c r="X22" s="14" t="n">
        <v>2</v>
      </c>
      <c r="Y22" s="14" t="n">
        <v>0</v>
      </c>
      <c r="Z22" s="15" t="n">
        <f aca="false">IF(OR(X22="",Y22="",$G22="",$H22=""),0,IF(AND(X22=$G22,Y22=$H22),8,IF(SIGN(X22-Y22)=SIGN($G22-$H22),3,0)))</f>
        <v>0</v>
      </c>
      <c r="AA22" s="14"/>
      <c r="AB22" s="14"/>
      <c r="AC22" s="15" t="n">
        <f aca="false">IF(OR(AA22="",AB22="",$G22="",$H22=""),0,IF(AND(AA22=$G22,AB22=$H22),8,IF(SIGN(AA22-AB22)=SIGN($G22-$H22),3,0)))</f>
        <v>0</v>
      </c>
      <c r="AD22" s="14"/>
      <c r="AE22" s="14"/>
      <c r="AF22" s="15" t="n">
        <f aca="false">IF(OR(AD22="",AE22="",$G22="",$H22=""),0,IF(AND(AD22=$G22,AE22=$H22),8,IF(SIGN(AD22-AE22)=SIGN($G22-$H22),3,0)))</f>
        <v>0</v>
      </c>
      <c r="AG22" s="14"/>
      <c r="AH22" s="14"/>
      <c r="AI22" s="15" t="n">
        <f aca="false">IF(OR(AG22="",AH22="",$G22="",$H22=""),0,IF(AND(AG22=$G22,AH22=$H22),8,IF(SIGN(AG22-AH22)=SIGN($G22-$H22),3,0)))</f>
        <v>0</v>
      </c>
    </row>
    <row r="23" customFormat="false" ht="15" hidden="false" customHeight="true" outlineLevel="0" collapsed="false">
      <c r="A23" s="16" t="n">
        <v>20</v>
      </c>
      <c r="B23" s="17" t="n">
        <v>46189</v>
      </c>
      <c r="C23" s="18" t="s">
        <v>45</v>
      </c>
      <c r="D23" s="16" t="s">
        <v>91</v>
      </c>
      <c r="E23" s="19" t="s">
        <v>94</v>
      </c>
      <c r="F23" s="19" t="s">
        <v>95</v>
      </c>
      <c r="G23" s="14"/>
      <c r="H23" s="14"/>
      <c r="I23" s="14"/>
      <c r="J23" s="14"/>
      <c r="K23" s="20" t="n">
        <f aca="false">IF(OR(I23="",J23="",$G23="",$H23=""),0,IF(AND(I23=$G23,J23=$H23),8,IF(SIGN(I23-J23)=SIGN($G23-$H23),3,0)))</f>
        <v>0</v>
      </c>
      <c r="L23" s="14"/>
      <c r="M23" s="14"/>
      <c r="N23" s="20" t="n">
        <f aca="false">IF(OR(L23="",M23="",$G23="",$H23=""),0,IF(AND(L23=$G23,M23=$H23),8,IF(SIGN(L23-M23)=SIGN($G23-$H23),3,0)))</f>
        <v>0</v>
      </c>
      <c r="O23" s="14"/>
      <c r="P23" s="14"/>
      <c r="Q23" s="20" t="n">
        <f aca="false">IF(OR(O23="",P23="",$G23="",$H23=""),0,IF(AND(O23=$G23,P23=$H23),8,IF(SIGN(O23-P23)=SIGN($G23-$H23),3,0)))</f>
        <v>0</v>
      </c>
      <c r="R23" s="14"/>
      <c r="S23" s="14"/>
      <c r="T23" s="20" t="n">
        <f aca="false">IF(OR(R23="",S23="",$G23="",$H23=""),0,IF(AND(R23=$G23,S23=$H23),8,IF(SIGN(R23-S23)=SIGN($G23-$H23),3,0)))</f>
        <v>0</v>
      </c>
      <c r="U23" s="14"/>
      <c r="V23" s="14"/>
      <c r="W23" s="20" t="n">
        <f aca="false">IF(OR(U23="",V23="",$G23="",$H23=""),0,IF(AND(U23=$G23,V23=$H23),8,IF(SIGN(U23-V23)=SIGN($G23-$H23),3,0)))</f>
        <v>0</v>
      </c>
      <c r="X23" s="14" t="n">
        <v>1</v>
      </c>
      <c r="Y23" s="14" t="n">
        <v>0</v>
      </c>
      <c r="Z23" s="20" t="n">
        <f aca="false">IF(OR(X23="",Y23="",$G23="",$H23=""),0,IF(AND(X23=$G23,Y23=$H23),8,IF(SIGN(X23-Y23)=SIGN($G23-$H23),3,0)))</f>
        <v>0</v>
      </c>
      <c r="AA23" s="14"/>
      <c r="AB23" s="14"/>
      <c r="AC23" s="20" t="n">
        <f aca="false">IF(OR(AA23="",AB23="",$G23="",$H23=""),0,IF(AND(AA23=$G23,AB23=$H23),8,IF(SIGN(AA23-AB23)=SIGN($G23-$H23),3,0)))</f>
        <v>0</v>
      </c>
      <c r="AD23" s="14"/>
      <c r="AE23" s="14"/>
      <c r="AF23" s="20" t="n">
        <f aca="false">IF(OR(AD23="",AE23="",$G23="",$H23=""),0,IF(AND(AD23=$G23,AE23=$H23),8,IF(SIGN(AD23-AE23)=SIGN($G23-$H23),3,0)))</f>
        <v>0</v>
      </c>
      <c r="AG23" s="14"/>
      <c r="AH23" s="14"/>
      <c r="AI23" s="20" t="n">
        <f aca="false">IF(OR(AG23="",AH23="",$G23="",$H23=""),0,IF(AND(AG23=$G23,AH23=$H23),8,IF(SIGN(AG23-AH23)=SIGN($G23-$H23),3,0)))</f>
        <v>0</v>
      </c>
    </row>
    <row r="24" customFormat="false" ht="15" hidden="false" customHeight="true" outlineLevel="0" collapsed="false">
      <c r="A24" s="10" t="n">
        <v>21</v>
      </c>
      <c r="B24" s="11" t="n">
        <v>46190</v>
      </c>
      <c r="C24" s="12" t="s">
        <v>45</v>
      </c>
      <c r="D24" s="10" t="s">
        <v>96</v>
      </c>
      <c r="E24" s="13" t="s">
        <v>97</v>
      </c>
      <c r="F24" s="13" t="s">
        <v>98</v>
      </c>
      <c r="G24" s="14"/>
      <c r="H24" s="14"/>
      <c r="I24" s="14"/>
      <c r="J24" s="14"/>
      <c r="K24" s="15" t="n">
        <f aca="false">IF(OR(I24="",J24="",$G24="",$H24=""),0,IF(AND(I24=$G24,J24=$H24),8,IF(SIGN(I24-J24)=SIGN($G24-$H24),3,0)))</f>
        <v>0</v>
      </c>
      <c r="L24" s="14"/>
      <c r="M24" s="14"/>
      <c r="N24" s="15" t="n">
        <f aca="false">IF(OR(L24="",M24="",$G24="",$H24=""),0,IF(AND(L24=$G24,M24=$H24),8,IF(SIGN(L24-M24)=SIGN($G24-$H24),3,0)))</f>
        <v>0</v>
      </c>
      <c r="O24" s="14"/>
      <c r="P24" s="14"/>
      <c r="Q24" s="15" t="n">
        <f aca="false">IF(OR(O24="",P24="",$G24="",$H24=""),0,IF(AND(O24=$G24,P24=$H24),8,IF(SIGN(O24-P24)=SIGN($G24-$H24),3,0)))</f>
        <v>0</v>
      </c>
      <c r="R24" s="14"/>
      <c r="S24" s="14"/>
      <c r="T24" s="15" t="n">
        <f aca="false">IF(OR(R24="",S24="",$G24="",$H24=""),0,IF(AND(R24=$G24,S24=$H24),8,IF(SIGN(R24-S24)=SIGN($G24-$H24),3,0)))</f>
        <v>0</v>
      </c>
      <c r="U24" s="14"/>
      <c r="V24" s="14"/>
      <c r="W24" s="15" t="n">
        <f aca="false">IF(OR(U24="",V24="",$G24="",$H24=""),0,IF(AND(U24=$G24,V24=$H24),8,IF(SIGN(U24-V24)=SIGN($G24-$H24),3,0)))</f>
        <v>0</v>
      </c>
      <c r="X24" s="14" t="n">
        <v>2</v>
      </c>
      <c r="Y24" s="14" t="n">
        <v>0</v>
      </c>
      <c r="Z24" s="15" t="n">
        <f aca="false">IF(OR(X24="",Y24="",$G24="",$H24=""),0,IF(AND(X24=$G24,Y24=$H24),8,IF(SIGN(X24-Y24)=SIGN($G24-$H24),3,0)))</f>
        <v>0</v>
      </c>
      <c r="AA24" s="14"/>
      <c r="AB24" s="14"/>
      <c r="AC24" s="15" t="n">
        <f aca="false">IF(OR(AA24="",AB24="",$G24="",$H24=""),0,IF(AND(AA24=$G24,AB24=$H24),8,IF(SIGN(AA24-AB24)=SIGN($G24-$H24),3,0)))</f>
        <v>0</v>
      </c>
      <c r="AD24" s="14"/>
      <c r="AE24" s="14"/>
      <c r="AF24" s="15" t="n">
        <f aca="false">IF(OR(AD24="",AE24="",$G24="",$H24=""),0,IF(AND(AD24=$G24,AE24=$H24),8,IF(SIGN(AD24-AE24)=SIGN($G24-$H24),3,0)))</f>
        <v>0</v>
      </c>
      <c r="AG24" s="14"/>
      <c r="AH24" s="14"/>
      <c r="AI24" s="15" t="n">
        <f aca="false">IF(OR(AG24="",AH24="",$G24="",$H24=""),0,IF(AND(AG24=$G24,AH24=$H24),8,IF(SIGN(AG24-AH24)=SIGN($G24-$H24),3,0)))</f>
        <v>0</v>
      </c>
    </row>
    <row r="25" customFormat="false" ht="15" hidden="false" customHeight="true" outlineLevel="0" collapsed="false">
      <c r="A25" s="16" t="n">
        <v>22</v>
      </c>
      <c r="B25" s="17" t="n">
        <v>46190</v>
      </c>
      <c r="C25" s="18" t="s">
        <v>45</v>
      </c>
      <c r="D25" s="16" t="s">
        <v>99</v>
      </c>
      <c r="E25" s="19" t="s">
        <v>100</v>
      </c>
      <c r="F25" s="19" t="s">
        <v>101</v>
      </c>
      <c r="G25" s="14"/>
      <c r="H25" s="14"/>
      <c r="I25" s="14"/>
      <c r="J25" s="14"/>
      <c r="K25" s="20" t="n">
        <f aca="false">IF(OR(I25="",J25="",$G25="",$H25=""),0,IF(AND(I25=$G25,J25=$H25),8,IF(SIGN(I25-J25)=SIGN($G25-$H25),3,0)))</f>
        <v>0</v>
      </c>
      <c r="L25" s="14"/>
      <c r="M25" s="14"/>
      <c r="N25" s="20" t="n">
        <f aca="false">IF(OR(L25="",M25="",$G25="",$H25=""),0,IF(AND(L25=$G25,M25=$H25),8,IF(SIGN(L25-M25)=SIGN($G25-$H25),3,0)))</f>
        <v>0</v>
      </c>
      <c r="O25" s="14"/>
      <c r="P25" s="14"/>
      <c r="Q25" s="20" t="n">
        <f aca="false">IF(OR(O25="",P25="",$G25="",$H25=""),0,IF(AND(O25=$G25,P25=$H25),8,IF(SIGN(O25-P25)=SIGN($G25-$H25),3,0)))</f>
        <v>0</v>
      </c>
      <c r="R25" s="14"/>
      <c r="S25" s="14"/>
      <c r="T25" s="20" t="n">
        <f aca="false">IF(OR(R25="",S25="",$G25="",$H25=""),0,IF(AND(R25=$G25,S25=$H25),8,IF(SIGN(R25-S25)=SIGN($G25-$H25),3,0)))</f>
        <v>0</v>
      </c>
      <c r="U25" s="14"/>
      <c r="V25" s="14"/>
      <c r="W25" s="20" t="n">
        <f aca="false">IF(OR(U25="",V25="",$G25="",$H25=""),0,IF(AND(U25=$G25,V25=$H25),8,IF(SIGN(U25-V25)=SIGN($G25-$H25),3,0)))</f>
        <v>0</v>
      </c>
      <c r="X25" s="14" t="n">
        <v>3</v>
      </c>
      <c r="Y25" s="14" t="n">
        <v>1</v>
      </c>
      <c r="Z25" s="20" t="n">
        <f aca="false">IF(OR(X25="",Y25="",$G25="",$H25=""),0,IF(AND(X25=$G25,Y25=$H25),8,IF(SIGN(X25-Y25)=SIGN($G25-$H25),3,0)))</f>
        <v>0</v>
      </c>
      <c r="AA25" s="14"/>
      <c r="AB25" s="14"/>
      <c r="AC25" s="20" t="n">
        <f aca="false">IF(OR(AA25="",AB25="",$G25="",$H25=""),0,IF(AND(AA25=$G25,AB25=$H25),8,IF(SIGN(AA25-AB25)=SIGN($G25-$H25),3,0)))</f>
        <v>0</v>
      </c>
      <c r="AD25" s="14"/>
      <c r="AE25" s="14"/>
      <c r="AF25" s="20" t="n">
        <f aca="false">IF(OR(AD25="",AE25="",$G25="",$H25=""),0,IF(AND(AD25=$G25,AE25=$H25),8,IF(SIGN(AD25-AE25)=SIGN($G25-$H25),3,0)))</f>
        <v>0</v>
      </c>
      <c r="AG25" s="14"/>
      <c r="AH25" s="14"/>
      <c r="AI25" s="20" t="n">
        <f aca="false">IF(OR(AG25="",AH25="",$G25="",$H25=""),0,IF(AND(AG25=$G25,AH25=$H25),8,IF(SIGN(AG25-AH25)=SIGN($G25-$H25),3,0)))</f>
        <v>0</v>
      </c>
    </row>
    <row r="26" customFormat="false" ht="15" hidden="false" customHeight="true" outlineLevel="0" collapsed="false">
      <c r="A26" s="10" t="n">
        <v>23</v>
      </c>
      <c r="B26" s="11" t="n">
        <v>46190</v>
      </c>
      <c r="C26" s="12" t="s">
        <v>45</v>
      </c>
      <c r="D26" s="10" t="s">
        <v>99</v>
      </c>
      <c r="E26" s="13" t="s">
        <v>102</v>
      </c>
      <c r="F26" s="13" t="s">
        <v>103</v>
      </c>
      <c r="G26" s="14"/>
      <c r="H26" s="14"/>
      <c r="I26" s="14"/>
      <c r="J26" s="14"/>
      <c r="K26" s="15" t="n">
        <f aca="false">IF(OR(I26="",J26="",$G26="",$H26=""),0,IF(AND(I26=$G26,J26=$H26),8,IF(SIGN(I26-J26)=SIGN($G26-$H26),3,0)))</f>
        <v>0</v>
      </c>
      <c r="L26" s="14"/>
      <c r="M26" s="14"/>
      <c r="N26" s="15" t="n">
        <f aca="false">IF(OR(L26="",M26="",$G26="",$H26=""),0,IF(AND(L26=$G26,M26=$H26),8,IF(SIGN(L26-M26)=SIGN($G26-$H26),3,0)))</f>
        <v>0</v>
      </c>
      <c r="O26" s="14"/>
      <c r="P26" s="14"/>
      <c r="Q26" s="15" t="n">
        <f aca="false">IF(OR(O26="",P26="",$G26="",$H26=""),0,IF(AND(O26=$G26,P26=$H26),8,IF(SIGN(O26-P26)=SIGN($G26-$H26),3,0)))</f>
        <v>0</v>
      </c>
      <c r="R26" s="14"/>
      <c r="S26" s="14"/>
      <c r="T26" s="15" t="n">
        <f aca="false">IF(OR(R26="",S26="",$G26="",$H26=""),0,IF(AND(R26=$G26,S26=$H26),8,IF(SIGN(R26-S26)=SIGN($G26-$H26),3,0)))</f>
        <v>0</v>
      </c>
      <c r="U26" s="14"/>
      <c r="V26" s="14"/>
      <c r="W26" s="15" t="n">
        <f aca="false">IF(OR(U26="",V26="",$G26="",$H26=""),0,IF(AND(U26=$G26,V26=$H26),8,IF(SIGN(U26-V26)=SIGN($G26-$H26),3,0)))</f>
        <v>0</v>
      </c>
      <c r="X26" s="14" t="n">
        <v>1</v>
      </c>
      <c r="Y26" s="14" t="n">
        <v>1</v>
      </c>
      <c r="Z26" s="15" t="n">
        <f aca="false">IF(OR(X26="",Y26="",$G26="",$H26=""),0,IF(AND(X26=$G26,Y26=$H26),8,IF(SIGN(X26-Y26)=SIGN($G26-$H26),3,0)))</f>
        <v>0</v>
      </c>
      <c r="AA26" s="14"/>
      <c r="AB26" s="14"/>
      <c r="AC26" s="15" t="n">
        <f aca="false">IF(OR(AA26="",AB26="",$G26="",$H26=""),0,IF(AND(AA26=$G26,AB26=$H26),8,IF(SIGN(AA26-AB26)=SIGN($G26-$H26),3,0)))</f>
        <v>0</v>
      </c>
      <c r="AD26" s="14"/>
      <c r="AE26" s="14"/>
      <c r="AF26" s="15" t="n">
        <f aca="false">IF(OR(AD26="",AE26="",$G26="",$H26=""),0,IF(AND(AD26=$G26,AE26=$H26),8,IF(SIGN(AD26-AE26)=SIGN($G26-$H26),3,0)))</f>
        <v>0</v>
      </c>
      <c r="AG26" s="14"/>
      <c r="AH26" s="14"/>
      <c r="AI26" s="15" t="n">
        <f aca="false">IF(OR(AG26="",AH26="",$G26="",$H26=""),0,IF(AND(AG26=$G26,AH26=$H26),8,IF(SIGN(AG26-AH26)=SIGN($G26-$H26),3,0)))</f>
        <v>0</v>
      </c>
    </row>
    <row r="27" customFormat="false" ht="15" hidden="false" customHeight="true" outlineLevel="0" collapsed="false">
      <c r="A27" s="16" t="n">
        <v>24</v>
      </c>
      <c r="B27" s="17" t="n">
        <v>46190</v>
      </c>
      <c r="C27" s="18" t="s">
        <v>45</v>
      </c>
      <c r="D27" s="16" t="s">
        <v>96</v>
      </c>
      <c r="E27" s="19" t="s">
        <v>104</v>
      </c>
      <c r="F27" s="19" t="s">
        <v>105</v>
      </c>
      <c r="G27" s="14"/>
      <c r="H27" s="14"/>
      <c r="I27" s="14"/>
      <c r="J27" s="14"/>
      <c r="K27" s="20" t="n">
        <f aca="false">IF(OR(I27="",J27="",$G27="",$H27=""),0,IF(AND(I27=$G27,J27=$H27),8,IF(SIGN(I27-J27)=SIGN($G27-$H27),3,0)))</f>
        <v>0</v>
      </c>
      <c r="L27" s="14"/>
      <c r="M27" s="14"/>
      <c r="N27" s="20" t="n">
        <f aca="false">IF(OR(L27="",M27="",$G27="",$H27=""),0,IF(AND(L27=$G27,M27=$H27),8,IF(SIGN(L27-M27)=SIGN($G27-$H27),3,0)))</f>
        <v>0</v>
      </c>
      <c r="O27" s="14"/>
      <c r="P27" s="14"/>
      <c r="Q27" s="20" t="n">
        <f aca="false">IF(OR(O27="",P27="",$G27="",$H27=""),0,IF(AND(O27=$G27,P27=$H27),8,IF(SIGN(O27-P27)=SIGN($G27-$H27),3,0)))</f>
        <v>0</v>
      </c>
      <c r="R27" s="14"/>
      <c r="S27" s="14"/>
      <c r="T27" s="20" t="n">
        <f aca="false">IF(OR(R27="",S27="",$G27="",$H27=""),0,IF(AND(R27=$G27,S27=$H27),8,IF(SIGN(R27-S27)=SIGN($G27-$H27),3,0)))</f>
        <v>0</v>
      </c>
      <c r="U27" s="14"/>
      <c r="V27" s="14"/>
      <c r="W27" s="20" t="n">
        <f aca="false">IF(OR(U27="",V27="",$G27="",$H27=""),0,IF(AND(U27=$G27,V27=$H27),8,IF(SIGN(U27-V27)=SIGN($G27-$H27),3,0)))</f>
        <v>0</v>
      </c>
      <c r="X27" s="14" t="n">
        <v>0</v>
      </c>
      <c r="Y27" s="14" t="n">
        <v>2</v>
      </c>
      <c r="Z27" s="20" t="n">
        <f aca="false">IF(OR(X27="",Y27="",$G27="",$H27=""),0,IF(AND(X27=$G27,Y27=$H27),8,IF(SIGN(X27-Y27)=SIGN($G27-$H27),3,0)))</f>
        <v>0</v>
      </c>
      <c r="AA27" s="14"/>
      <c r="AB27" s="14"/>
      <c r="AC27" s="20" t="n">
        <f aca="false">IF(OR(AA27="",AB27="",$G27="",$H27=""),0,IF(AND(AA27=$G27,AB27=$H27),8,IF(SIGN(AA27-AB27)=SIGN($G27-$H27),3,0)))</f>
        <v>0</v>
      </c>
      <c r="AD27" s="14"/>
      <c r="AE27" s="14"/>
      <c r="AF27" s="20" t="n">
        <f aca="false">IF(OR(AD27="",AE27="",$G27="",$H27=""),0,IF(AND(AD27=$G27,AE27=$H27),8,IF(SIGN(AD27-AE27)=SIGN($G27-$H27),3,0)))</f>
        <v>0</v>
      </c>
      <c r="AG27" s="14"/>
      <c r="AH27" s="14"/>
      <c r="AI27" s="20" t="n">
        <f aca="false">IF(OR(AG27="",AH27="",$G27="",$H27=""),0,IF(AND(AG27=$G27,AH27=$H27),8,IF(SIGN(AG27-AH27)=SIGN($G27-$H27),3,0)))</f>
        <v>0</v>
      </c>
    </row>
    <row r="28" customFormat="false" ht="15" hidden="false" customHeight="true" outlineLevel="0" collapsed="false">
      <c r="A28" s="10" t="n">
        <v>25</v>
      </c>
      <c r="B28" s="11" t="n">
        <v>46191</v>
      </c>
      <c r="C28" s="12" t="s">
        <v>45</v>
      </c>
      <c r="D28" s="10" t="s">
        <v>46</v>
      </c>
      <c r="E28" s="13" t="s">
        <v>50</v>
      </c>
      <c r="F28" s="13" t="s">
        <v>48</v>
      </c>
      <c r="G28" s="14"/>
      <c r="H28" s="14"/>
      <c r="I28" s="14"/>
      <c r="J28" s="14"/>
      <c r="K28" s="15" t="n">
        <f aca="false">IF(OR(I28="",J28="",$G28="",$H28=""),0,IF(AND(I28=$G28,J28=$H28),8,IF(SIGN(I28-J28)=SIGN($G28-$H28),3,0)))</f>
        <v>0</v>
      </c>
      <c r="L28" s="14"/>
      <c r="M28" s="14"/>
      <c r="N28" s="15" t="n">
        <f aca="false">IF(OR(L28="",M28="",$G28="",$H28=""),0,IF(AND(L28=$G28,M28=$H28),8,IF(SIGN(L28-M28)=SIGN($G28-$H28),3,0)))</f>
        <v>0</v>
      </c>
      <c r="O28" s="14"/>
      <c r="P28" s="14"/>
      <c r="Q28" s="15" t="n">
        <f aca="false">IF(OR(O28="",P28="",$G28="",$H28=""),0,IF(AND(O28=$G28,P28=$H28),8,IF(SIGN(O28-P28)=SIGN($G28-$H28),3,0)))</f>
        <v>0</v>
      </c>
      <c r="R28" s="14"/>
      <c r="S28" s="14"/>
      <c r="T28" s="15" t="n">
        <f aca="false">IF(OR(R28="",S28="",$G28="",$H28=""),0,IF(AND(R28=$G28,S28=$H28),8,IF(SIGN(R28-S28)=SIGN($G28-$H28),3,0)))</f>
        <v>0</v>
      </c>
      <c r="U28" s="14"/>
      <c r="V28" s="14"/>
      <c r="W28" s="15" t="n">
        <f aca="false">IF(OR(U28="",V28="",$G28="",$H28=""),0,IF(AND(U28=$G28,V28=$H28),8,IF(SIGN(U28-V28)=SIGN($G28-$H28),3,0)))</f>
        <v>0</v>
      </c>
      <c r="X28" s="14" t="n">
        <v>0</v>
      </c>
      <c r="Y28" s="14" t="n">
        <v>0</v>
      </c>
      <c r="Z28" s="15" t="n">
        <f aca="false">IF(OR(X28="",Y28="",$G28="",$H28=""),0,IF(AND(X28=$G28,Y28=$H28),8,IF(SIGN(X28-Y28)=SIGN($G28-$H28),3,0)))</f>
        <v>0</v>
      </c>
      <c r="AA28" s="14"/>
      <c r="AB28" s="14"/>
      <c r="AC28" s="15" t="n">
        <f aca="false">IF(OR(AA28="",AB28="",$G28="",$H28=""),0,IF(AND(AA28=$G28,AB28=$H28),8,IF(SIGN(AA28-AB28)=SIGN($G28-$H28),3,0)))</f>
        <v>0</v>
      </c>
      <c r="AD28" s="14"/>
      <c r="AE28" s="14"/>
      <c r="AF28" s="15" t="n">
        <f aca="false">IF(OR(AD28="",AE28="",$G28="",$H28=""),0,IF(AND(AD28=$G28,AE28=$H28),8,IF(SIGN(AD28-AE28)=SIGN($G28-$H28),3,0)))</f>
        <v>0</v>
      </c>
      <c r="AG28" s="14"/>
      <c r="AH28" s="14"/>
      <c r="AI28" s="15" t="n">
        <f aca="false">IF(OR(AG28="",AH28="",$G28="",$H28=""),0,IF(AND(AG28=$G28,AH28=$H28),8,IF(SIGN(AG28-AH28)=SIGN($G28-$H28),3,0)))</f>
        <v>0</v>
      </c>
    </row>
    <row r="29" customFormat="false" ht="15" hidden="false" customHeight="true" outlineLevel="0" collapsed="false">
      <c r="A29" s="16" t="n">
        <v>26</v>
      </c>
      <c r="B29" s="17" t="n">
        <v>46191</v>
      </c>
      <c r="C29" s="18" t="s">
        <v>45</v>
      </c>
      <c r="D29" s="16" t="s">
        <v>51</v>
      </c>
      <c r="E29" s="19" t="s">
        <v>58</v>
      </c>
      <c r="F29" s="19" t="s">
        <v>53</v>
      </c>
      <c r="G29" s="14"/>
      <c r="H29" s="14"/>
      <c r="I29" s="14"/>
      <c r="J29" s="14"/>
      <c r="K29" s="20" t="n">
        <f aca="false">IF(OR(I29="",J29="",$G29="",$H29=""),0,IF(AND(I29=$G29,J29=$H29),8,IF(SIGN(I29-J29)=SIGN($G29-$H29),3,0)))</f>
        <v>0</v>
      </c>
      <c r="L29" s="14"/>
      <c r="M29" s="14"/>
      <c r="N29" s="20" t="n">
        <f aca="false">IF(OR(L29="",M29="",$G29="",$H29=""),0,IF(AND(L29=$G29,M29=$H29),8,IF(SIGN(L29-M29)=SIGN($G29-$H29),3,0)))</f>
        <v>0</v>
      </c>
      <c r="O29" s="14"/>
      <c r="P29" s="14"/>
      <c r="Q29" s="20" t="n">
        <f aca="false">IF(OR(O29="",P29="",$G29="",$H29=""),0,IF(AND(O29=$G29,P29=$H29),8,IF(SIGN(O29-P29)=SIGN($G29-$H29),3,0)))</f>
        <v>0</v>
      </c>
      <c r="R29" s="14"/>
      <c r="S29" s="14"/>
      <c r="T29" s="20" t="n">
        <f aca="false">IF(OR(R29="",S29="",$G29="",$H29=""),0,IF(AND(R29=$G29,S29=$H29),8,IF(SIGN(R29-S29)=SIGN($G29-$H29),3,0)))</f>
        <v>0</v>
      </c>
      <c r="U29" s="14"/>
      <c r="V29" s="14"/>
      <c r="W29" s="20" t="n">
        <f aca="false">IF(OR(U29="",V29="",$G29="",$H29=""),0,IF(AND(U29=$G29,V29=$H29),8,IF(SIGN(U29-V29)=SIGN($G29-$H29),3,0)))</f>
        <v>0</v>
      </c>
      <c r="X29" s="14" t="n">
        <v>1</v>
      </c>
      <c r="Y29" s="14" t="n">
        <v>1</v>
      </c>
      <c r="Z29" s="20" t="n">
        <f aca="false">IF(OR(X29="",Y29="",$G29="",$H29=""),0,IF(AND(X29=$G29,Y29=$H29),8,IF(SIGN(X29-Y29)=SIGN($G29-$H29),3,0)))</f>
        <v>0</v>
      </c>
      <c r="AA29" s="14"/>
      <c r="AB29" s="14"/>
      <c r="AC29" s="20" t="n">
        <f aca="false">IF(OR(AA29="",AB29="",$G29="",$H29=""),0,IF(AND(AA29=$G29,AB29=$H29),8,IF(SIGN(AA29-AB29)=SIGN($G29-$H29),3,0)))</f>
        <v>0</v>
      </c>
      <c r="AD29" s="14"/>
      <c r="AE29" s="14"/>
      <c r="AF29" s="20" t="n">
        <f aca="false">IF(OR(AD29="",AE29="",$G29="",$H29=""),0,IF(AND(AD29=$G29,AE29=$H29),8,IF(SIGN(AD29-AE29)=SIGN($G29-$H29),3,0)))</f>
        <v>0</v>
      </c>
      <c r="AG29" s="14"/>
      <c r="AH29" s="14"/>
      <c r="AI29" s="20" t="n">
        <f aca="false">IF(OR(AG29="",AH29="",$G29="",$H29=""),0,IF(AND(AG29=$G29,AH29=$H29),8,IF(SIGN(AG29-AH29)=SIGN($G29-$H29),3,0)))</f>
        <v>0</v>
      </c>
    </row>
    <row r="30" customFormat="false" ht="15" hidden="false" customHeight="true" outlineLevel="0" collapsed="false">
      <c r="A30" s="10" t="n">
        <v>27</v>
      </c>
      <c r="B30" s="11" t="n">
        <v>46191</v>
      </c>
      <c r="C30" s="12" t="s">
        <v>45</v>
      </c>
      <c r="D30" s="10" t="s">
        <v>51</v>
      </c>
      <c r="E30" s="13" t="s">
        <v>52</v>
      </c>
      <c r="F30" s="13" t="s">
        <v>57</v>
      </c>
      <c r="G30" s="14"/>
      <c r="H30" s="14"/>
      <c r="I30" s="14"/>
      <c r="J30" s="14"/>
      <c r="K30" s="15" t="n">
        <f aca="false">IF(OR(I30="",J30="",$G30="",$H30=""),0,IF(AND(I30=$G30,J30=$H30),8,IF(SIGN(I30-J30)=SIGN($G30-$H30),3,0)))</f>
        <v>0</v>
      </c>
      <c r="L30" s="14"/>
      <c r="M30" s="14"/>
      <c r="N30" s="15" t="n">
        <f aca="false">IF(OR(L30="",M30="",$G30="",$H30=""),0,IF(AND(L30=$G30,M30=$H30),8,IF(SIGN(L30-M30)=SIGN($G30-$H30),3,0)))</f>
        <v>0</v>
      </c>
      <c r="O30" s="14"/>
      <c r="P30" s="14"/>
      <c r="Q30" s="15" t="n">
        <f aca="false">IF(OR(O30="",P30="",$G30="",$H30=""),0,IF(AND(O30=$G30,P30=$H30),8,IF(SIGN(O30-P30)=SIGN($G30-$H30),3,0)))</f>
        <v>0</v>
      </c>
      <c r="R30" s="14"/>
      <c r="S30" s="14"/>
      <c r="T30" s="15" t="n">
        <f aca="false">IF(OR(R30="",S30="",$G30="",$H30=""),0,IF(AND(R30=$G30,S30=$H30),8,IF(SIGN(R30-S30)=SIGN($G30-$H30),3,0)))</f>
        <v>0</v>
      </c>
      <c r="U30" s="14"/>
      <c r="V30" s="14"/>
      <c r="W30" s="15" t="n">
        <f aca="false">IF(OR(U30="",V30="",$G30="",$H30=""),0,IF(AND(U30=$G30,V30=$H30),8,IF(SIGN(U30-V30)=SIGN($G30-$H30),3,0)))</f>
        <v>0</v>
      </c>
      <c r="X30" s="14" t="n">
        <v>2</v>
      </c>
      <c r="Y30" s="14" t="n">
        <v>1</v>
      </c>
      <c r="Z30" s="15" t="n">
        <f aca="false">IF(OR(X30="",Y30="",$G30="",$H30=""),0,IF(AND(X30=$G30,Y30=$H30),8,IF(SIGN(X30-Y30)=SIGN($G30-$H30),3,0)))</f>
        <v>0</v>
      </c>
      <c r="AA30" s="14"/>
      <c r="AB30" s="14"/>
      <c r="AC30" s="15" t="n">
        <f aca="false">IF(OR(AA30="",AB30="",$G30="",$H30=""),0,IF(AND(AA30=$G30,AB30=$H30),8,IF(SIGN(AA30-AB30)=SIGN($G30-$H30),3,0)))</f>
        <v>0</v>
      </c>
      <c r="AD30" s="14"/>
      <c r="AE30" s="14"/>
      <c r="AF30" s="15" t="n">
        <f aca="false">IF(OR(AD30="",AE30="",$G30="",$H30=""),0,IF(AND(AD30=$G30,AE30=$H30),8,IF(SIGN(AD30-AE30)=SIGN($G30-$H30),3,0)))</f>
        <v>0</v>
      </c>
      <c r="AG30" s="14"/>
      <c r="AH30" s="14"/>
      <c r="AI30" s="15" t="n">
        <f aca="false">IF(OR(AG30="",AH30="",$G30="",$H30=""),0,IF(AND(AG30=$G30,AH30=$H30),8,IF(SIGN(AG30-AH30)=SIGN($G30-$H30),3,0)))</f>
        <v>0</v>
      </c>
    </row>
    <row r="31" customFormat="false" ht="15" hidden="false" customHeight="true" outlineLevel="0" collapsed="false">
      <c r="A31" s="16" t="n">
        <v>28</v>
      </c>
      <c r="B31" s="17" t="n">
        <v>46191</v>
      </c>
      <c r="C31" s="18" t="s">
        <v>45</v>
      </c>
      <c r="D31" s="16" t="s">
        <v>46</v>
      </c>
      <c r="E31" s="19" t="s">
        <v>47</v>
      </c>
      <c r="F31" s="19" t="s">
        <v>49</v>
      </c>
      <c r="G31" s="14"/>
      <c r="H31" s="14"/>
      <c r="I31" s="14"/>
      <c r="J31" s="14"/>
      <c r="K31" s="20" t="n">
        <f aca="false">IF(OR(I31="",J31="",$G31="",$H31=""),0,IF(AND(I31=$G31,J31=$H31),8,IF(SIGN(I31-J31)=SIGN($G31-$H31),3,0)))</f>
        <v>0</v>
      </c>
      <c r="L31" s="14"/>
      <c r="M31" s="14"/>
      <c r="N31" s="20" t="n">
        <f aca="false">IF(OR(L31="",M31="",$G31="",$H31=""),0,IF(AND(L31=$G31,M31=$H31),8,IF(SIGN(L31-M31)=SIGN($G31-$H31),3,0)))</f>
        <v>0</v>
      </c>
      <c r="O31" s="14"/>
      <c r="P31" s="14"/>
      <c r="Q31" s="20" t="n">
        <f aca="false">IF(OR(O31="",P31="",$G31="",$H31=""),0,IF(AND(O31=$G31,P31=$H31),8,IF(SIGN(O31-P31)=SIGN($G31-$H31),3,0)))</f>
        <v>0</v>
      </c>
      <c r="R31" s="14"/>
      <c r="S31" s="14"/>
      <c r="T31" s="20" t="n">
        <f aca="false">IF(OR(R31="",S31="",$G31="",$H31=""),0,IF(AND(R31=$G31,S31=$H31),8,IF(SIGN(R31-S31)=SIGN($G31-$H31),3,0)))</f>
        <v>0</v>
      </c>
      <c r="U31" s="14"/>
      <c r="V31" s="14"/>
      <c r="W31" s="20" t="n">
        <f aca="false">IF(OR(U31="",V31="",$G31="",$H31=""),0,IF(AND(U31=$G31,V31=$H31),8,IF(SIGN(U31-V31)=SIGN($G31-$H31),3,0)))</f>
        <v>0</v>
      </c>
      <c r="X31" s="14" t="n">
        <v>2</v>
      </c>
      <c r="Y31" s="14" t="n">
        <v>2</v>
      </c>
      <c r="Z31" s="20" t="n">
        <f aca="false">IF(OR(X31="",Y31="",$G31="",$H31=""),0,IF(AND(X31=$G31,Y31=$H31),8,IF(SIGN(X31-Y31)=SIGN($G31-$H31),3,0)))</f>
        <v>0</v>
      </c>
      <c r="AA31" s="14"/>
      <c r="AB31" s="14"/>
      <c r="AC31" s="20" t="n">
        <f aca="false">IF(OR(AA31="",AB31="",$G31="",$H31=""),0,IF(AND(AA31=$G31,AB31=$H31),8,IF(SIGN(AA31-AB31)=SIGN($G31-$H31),3,0)))</f>
        <v>0</v>
      </c>
      <c r="AD31" s="14"/>
      <c r="AE31" s="14"/>
      <c r="AF31" s="20" t="n">
        <f aca="false">IF(OR(AD31="",AE31="",$G31="",$H31=""),0,IF(AND(AD31=$G31,AE31=$H31),8,IF(SIGN(AD31-AE31)=SIGN($G31-$H31),3,0)))</f>
        <v>0</v>
      </c>
      <c r="AG31" s="14"/>
      <c r="AH31" s="14"/>
      <c r="AI31" s="20" t="n">
        <f aca="false">IF(OR(AG31="",AH31="",$G31="",$H31=""),0,IF(AND(AG31=$G31,AH31=$H31),8,IF(SIGN(AG31-AH31)=SIGN($G31-$H31),3,0)))</f>
        <v>0</v>
      </c>
    </row>
    <row r="32" customFormat="false" ht="15" hidden="false" customHeight="true" outlineLevel="0" collapsed="false">
      <c r="A32" s="10" t="n">
        <v>29</v>
      </c>
      <c r="B32" s="11" t="n">
        <v>46192</v>
      </c>
      <c r="C32" s="12" t="s">
        <v>45</v>
      </c>
      <c r="D32" s="10" t="s">
        <v>54</v>
      </c>
      <c r="E32" s="13" t="s">
        <v>55</v>
      </c>
      <c r="F32" s="13" t="s">
        <v>64</v>
      </c>
      <c r="G32" s="14"/>
      <c r="H32" s="14"/>
      <c r="I32" s="14"/>
      <c r="J32" s="14"/>
      <c r="K32" s="15" t="n">
        <f aca="false">IF(OR(I32="",J32="",$G32="",$H32=""),0,IF(AND(I32=$G32,J32=$H32),8,IF(SIGN(I32-J32)=SIGN($G32-$H32),3,0)))</f>
        <v>0</v>
      </c>
      <c r="L32" s="14"/>
      <c r="M32" s="14"/>
      <c r="N32" s="15" t="n">
        <f aca="false">IF(OR(L32="",M32="",$G32="",$H32=""),0,IF(AND(L32=$G32,M32=$H32),8,IF(SIGN(L32-M32)=SIGN($G32-$H32),3,0)))</f>
        <v>0</v>
      </c>
      <c r="O32" s="14"/>
      <c r="P32" s="14"/>
      <c r="Q32" s="15" t="n">
        <f aca="false">IF(OR(O32="",P32="",$G32="",$H32=""),0,IF(AND(O32=$G32,P32=$H32),8,IF(SIGN(O32-P32)=SIGN($G32-$H32),3,0)))</f>
        <v>0</v>
      </c>
      <c r="R32" s="14"/>
      <c r="S32" s="14"/>
      <c r="T32" s="15" t="n">
        <f aca="false">IF(OR(R32="",S32="",$G32="",$H32=""),0,IF(AND(R32=$G32,S32=$H32),8,IF(SIGN(R32-S32)=SIGN($G32-$H32),3,0)))</f>
        <v>0</v>
      </c>
      <c r="U32" s="14"/>
      <c r="V32" s="14"/>
      <c r="W32" s="15" t="n">
        <f aca="false">IF(OR(U32="",V32="",$G32="",$H32=""),0,IF(AND(U32=$G32,V32=$H32),8,IF(SIGN(U32-V32)=SIGN($G32-$H32),3,0)))</f>
        <v>0</v>
      </c>
      <c r="X32" s="14" t="n">
        <v>1</v>
      </c>
      <c r="Y32" s="14" t="n">
        <v>1</v>
      </c>
      <c r="Z32" s="15" t="n">
        <f aca="false">IF(OR(X32="",Y32="",$G32="",$H32=""),0,IF(AND(X32=$G32,Y32=$H32),8,IF(SIGN(X32-Y32)=SIGN($G32-$H32),3,0)))</f>
        <v>0</v>
      </c>
      <c r="AA32" s="14"/>
      <c r="AB32" s="14"/>
      <c r="AC32" s="15" t="n">
        <f aca="false">IF(OR(AA32="",AB32="",$G32="",$H32=""),0,IF(AND(AA32=$G32,AB32=$H32),8,IF(SIGN(AA32-AB32)=SIGN($G32-$H32),3,0)))</f>
        <v>0</v>
      </c>
      <c r="AD32" s="14"/>
      <c r="AE32" s="14"/>
      <c r="AF32" s="15" t="n">
        <f aca="false">IF(OR(AD32="",AE32="",$G32="",$H32=""),0,IF(AND(AD32=$G32,AE32=$H32),8,IF(SIGN(AD32-AE32)=SIGN($G32-$H32),3,0)))</f>
        <v>0</v>
      </c>
      <c r="AG32" s="14"/>
      <c r="AH32" s="14"/>
      <c r="AI32" s="15" t="n">
        <f aca="false">IF(OR(AG32="",AH32="",$G32="",$H32=""),0,IF(AND(AG32=$G32,AH32=$H32),8,IF(SIGN(AG32-AH32)=SIGN($G32-$H32),3,0)))</f>
        <v>0</v>
      </c>
    </row>
    <row r="33" customFormat="false" ht="15" hidden="false" customHeight="true" outlineLevel="0" collapsed="false">
      <c r="A33" s="16" t="n">
        <v>30</v>
      </c>
      <c r="B33" s="17" t="n">
        <v>46192</v>
      </c>
      <c r="C33" s="18" t="s">
        <v>45</v>
      </c>
      <c r="D33" s="16" t="s">
        <v>59</v>
      </c>
      <c r="E33" s="19" t="s">
        <v>63</v>
      </c>
      <c r="F33" s="19" t="s">
        <v>61</v>
      </c>
      <c r="G33" s="14"/>
      <c r="H33" s="14"/>
      <c r="I33" s="14"/>
      <c r="J33" s="14"/>
      <c r="K33" s="20" t="n">
        <f aca="false">IF(OR(I33="",J33="",$G33="",$H33=""),0,IF(AND(I33=$G33,J33=$H33),8,IF(SIGN(I33-J33)=SIGN($G33-$H33),3,0)))</f>
        <v>0</v>
      </c>
      <c r="L33" s="14"/>
      <c r="M33" s="14"/>
      <c r="N33" s="20" t="n">
        <f aca="false">IF(OR(L33="",M33="",$G33="",$H33=""),0,IF(AND(L33=$G33,M33=$H33),8,IF(SIGN(L33-M33)=SIGN($G33-$H33),3,0)))</f>
        <v>0</v>
      </c>
      <c r="O33" s="14"/>
      <c r="P33" s="14"/>
      <c r="Q33" s="20" t="n">
        <f aca="false">IF(OR(O33="",P33="",$G33="",$H33=""),0,IF(AND(O33=$G33,P33=$H33),8,IF(SIGN(O33-P33)=SIGN($G33-$H33),3,0)))</f>
        <v>0</v>
      </c>
      <c r="R33" s="14"/>
      <c r="S33" s="14"/>
      <c r="T33" s="20" t="n">
        <f aca="false">IF(OR(R33="",S33="",$G33="",$H33=""),0,IF(AND(R33=$G33,S33=$H33),8,IF(SIGN(R33-S33)=SIGN($G33-$H33),3,0)))</f>
        <v>0</v>
      </c>
      <c r="U33" s="14"/>
      <c r="V33" s="14"/>
      <c r="W33" s="20" t="n">
        <f aca="false">IF(OR(U33="",V33="",$G33="",$H33=""),0,IF(AND(U33=$G33,V33=$H33),8,IF(SIGN(U33-V33)=SIGN($G33-$H33),3,0)))</f>
        <v>0</v>
      </c>
      <c r="X33" s="14" t="n">
        <v>2</v>
      </c>
      <c r="Y33" s="14" t="n">
        <v>0</v>
      </c>
      <c r="Z33" s="20" t="n">
        <f aca="false">IF(OR(X33="",Y33="",$G33="",$H33=""),0,IF(AND(X33=$G33,Y33=$H33),8,IF(SIGN(X33-Y33)=SIGN($G33-$H33),3,0)))</f>
        <v>0</v>
      </c>
      <c r="AA33" s="14"/>
      <c r="AB33" s="14"/>
      <c r="AC33" s="20" t="n">
        <f aca="false">IF(OR(AA33="",AB33="",$G33="",$H33=""),0,IF(AND(AA33=$G33,AB33=$H33),8,IF(SIGN(AA33-AB33)=SIGN($G33-$H33),3,0)))</f>
        <v>0</v>
      </c>
      <c r="AD33" s="14"/>
      <c r="AE33" s="14"/>
      <c r="AF33" s="20" t="n">
        <f aca="false">IF(OR(AD33="",AE33="",$G33="",$H33=""),0,IF(AND(AD33=$G33,AE33=$H33),8,IF(SIGN(AD33-AE33)=SIGN($G33-$H33),3,0)))</f>
        <v>0</v>
      </c>
      <c r="AG33" s="14"/>
      <c r="AH33" s="14"/>
      <c r="AI33" s="20" t="n">
        <f aca="false">IF(OR(AG33="",AH33="",$G33="",$H33=""),0,IF(AND(AG33=$G33,AH33=$H33),8,IF(SIGN(AG33-AH33)=SIGN($G33-$H33),3,0)))</f>
        <v>0</v>
      </c>
    </row>
    <row r="34" customFormat="false" ht="15" hidden="false" customHeight="true" outlineLevel="0" collapsed="false">
      <c r="A34" s="10" t="n">
        <v>31</v>
      </c>
      <c r="B34" s="11" t="n">
        <v>46192</v>
      </c>
      <c r="C34" s="12" t="s">
        <v>45</v>
      </c>
      <c r="D34" s="10" t="s">
        <v>59</v>
      </c>
      <c r="E34" s="13" t="s">
        <v>60</v>
      </c>
      <c r="F34" s="13" t="s">
        <v>62</v>
      </c>
      <c r="G34" s="14"/>
      <c r="H34" s="14"/>
      <c r="I34" s="14"/>
      <c r="J34" s="14"/>
      <c r="K34" s="15" t="n">
        <f aca="false">IF(OR(I34="",J34="",$G34="",$H34=""),0,IF(AND(I34=$G34,J34=$H34),8,IF(SIGN(I34-J34)=SIGN($G34-$H34),3,0)))</f>
        <v>0</v>
      </c>
      <c r="L34" s="14"/>
      <c r="M34" s="14"/>
      <c r="N34" s="15" t="n">
        <f aca="false">IF(OR(L34="",M34="",$G34="",$H34=""),0,IF(AND(L34=$G34,M34=$H34),8,IF(SIGN(L34-M34)=SIGN($G34-$H34),3,0)))</f>
        <v>0</v>
      </c>
      <c r="O34" s="14"/>
      <c r="P34" s="14"/>
      <c r="Q34" s="15" t="n">
        <f aca="false">IF(OR(O34="",P34="",$G34="",$H34=""),0,IF(AND(O34=$G34,P34=$H34),8,IF(SIGN(O34-P34)=SIGN($G34-$H34),3,0)))</f>
        <v>0</v>
      </c>
      <c r="R34" s="14"/>
      <c r="S34" s="14"/>
      <c r="T34" s="15" t="n">
        <f aca="false">IF(OR(R34="",S34="",$G34="",$H34=""),0,IF(AND(R34=$G34,S34=$H34),8,IF(SIGN(R34-S34)=SIGN($G34-$H34),3,0)))</f>
        <v>0</v>
      </c>
      <c r="U34" s="14"/>
      <c r="V34" s="14"/>
      <c r="W34" s="15" t="n">
        <f aca="false">IF(OR(U34="",V34="",$G34="",$H34=""),0,IF(AND(U34=$G34,V34=$H34),8,IF(SIGN(U34-V34)=SIGN($G34-$H34),3,0)))</f>
        <v>0</v>
      </c>
      <c r="X34" s="14" t="n">
        <v>2</v>
      </c>
      <c r="Y34" s="14" t="n">
        <v>0</v>
      </c>
      <c r="Z34" s="15" t="n">
        <f aca="false">IF(OR(X34="",Y34="",$G34="",$H34=""),0,IF(AND(X34=$G34,Y34=$H34),8,IF(SIGN(X34-Y34)=SIGN($G34-$H34),3,0)))</f>
        <v>0</v>
      </c>
      <c r="AA34" s="14"/>
      <c r="AB34" s="14"/>
      <c r="AC34" s="15" t="n">
        <f aca="false">IF(OR(AA34="",AB34="",$G34="",$H34=""),0,IF(AND(AA34=$G34,AB34=$H34),8,IF(SIGN(AA34-AB34)=SIGN($G34-$H34),3,0)))</f>
        <v>0</v>
      </c>
      <c r="AD34" s="14"/>
      <c r="AE34" s="14"/>
      <c r="AF34" s="15" t="n">
        <f aca="false">IF(OR(AD34="",AE34="",$G34="",$H34=""),0,IF(AND(AD34=$G34,AE34=$H34),8,IF(SIGN(AD34-AE34)=SIGN($G34-$H34),3,0)))</f>
        <v>0</v>
      </c>
      <c r="AG34" s="14"/>
      <c r="AH34" s="14"/>
      <c r="AI34" s="15" t="n">
        <f aca="false">IF(OR(AG34="",AH34="",$G34="",$H34=""),0,IF(AND(AG34=$G34,AH34=$H34),8,IF(SIGN(AG34-AH34)=SIGN($G34-$H34),3,0)))</f>
        <v>0</v>
      </c>
    </row>
    <row r="35" customFormat="false" ht="15" hidden="false" customHeight="true" outlineLevel="0" collapsed="false">
      <c r="A35" s="16" t="n">
        <v>32</v>
      </c>
      <c r="B35" s="17" t="n">
        <v>46192</v>
      </c>
      <c r="C35" s="18" t="s">
        <v>45</v>
      </c>
      <c r="D35" s="16" t="s">
        <v>54</v>
      </c>
      <c r="E35" s="19" t="s">
        <v>65</v>
      </c>
      <c r="F35" s="19" t="s">
        <v>56</v>
      </c>
      <c r="G35" s="14"/>
      <c r="H35" s="14"/>
      <c r="I35" s="14"/>
      <c r="J35" s="14"/>
      <c r="K35" s="20" t="n">
        <f aca="false">IF(OR(I35="",J35="",$G35="",$H35=""),0,IF(AND(I35=$G35,J35=$H35),8,IF(SIGN(I35-J35)=SIGN($G35-$H35),3,0)))</f>
        <v>0</v>
      </c>
      <c r="L35" s="14"/>
      <c r="M35" s="14"/>
      <c r="N35" s="20" t="n">
        <f aca="false">IF(OR(L35="",M35="",$G35="",$H35=""),0,IF(AND(L35=$G35,M35=$H35),8,IF(SIGN(L35-M35)=SIGN($G35-$H35),3,0)))</f>
        <v>0</v>
      </c>
      <c r="O35" s="14"/>
      <c r="P35" s="14"/>
      <c r="Q35" s="20" t="n">
        <f aca="false">IF(OR(O35="",P35="",$G35="",$H35=""),0,IF(AND(O35=$G35,P35=$H35),8,IF(SIGN(O35-P35)=SIGN($G35-$H35),3,0)))</f>
        <v>0</v>
      </c>
      <c r="R35" s="14"/>
      <c r="S35" s="14"/>
      <c r="T35" s="20" t="n">
        <f aca="false">IF(OR(R35="",S35="",$G35="",$H35=""),0,IF(AND(R35=$G35,S35=$H35),8,IF(SIGN(R35-S35)=SIGN($G35-$H35),3,0)))</f>
        <v>0</v>
      </c>
      <c r="U35" s="14"/>
      <c r="V35" s="14"/>
      <c r="W35" s="20" t="n">
        <f aca="false">IF(OR(U35="",V35="",$G35="",$H35=""),0,IF(AND(U35=$G35,V35=$H35),8,IF(SIGN(U35-V35)=SIGN($G35-$H35),3,0)))</f>
        <v>0</v>
      </c>
      <c r="X35" s="14" t="n">
        <v>3</v>
      </c>
      <c r="Y35" s="14" t="n">
        <v>1</v>
      </c>
      <c r="Z35" s="20" t="n">
        <f aca="false">IF(OR(X35="",Y35="",$G35="",$H35=""),0,IF(AND(X35=$G35,Y35=$H35),8,IF(SIGN(X35-Y35)=SIGN($G35-$H35),3,0)))</f>
        <v>0</v>
      </c>
      <c r="AA35" s="14"/>
      <c r="AB35" s="14"/>
      <c r="AC35" s="20" t="n">
        <f aca="false">IF(OR(AA35="",AB35="",$G35="",$H35=""),0,IF(AND(AA35=$G35,AB35=$H35),8,IF(SIGN(AA35-AB35)=SIGN($G35-$H35),3,0)))</f>
        <v>0</v>
      </c>
      <c r="AD35" s="14"/>
      <c r="AE35" s="14"/>
      <c r="AF35" s="20" t="n">
        <f aca="false">IF(OR(AD35="",AE35="",$G35="",$H35=""),0,IF(AND(AD35=$G35,AE35=$H35),8,IF(SIGN(AD35-AE35)=SIGN($G35-$H35),3,0)))</f>
        <v>0</v>
      </c>
      <c r="AG35" s="14"/>
      <c r="AH35" s="14"/>
      <c r="AI35" s="20" t="n">
        <f aca="false">IF(OR(AG35="",AH35="",$G35="",$H35=""),0,IF(AND(AG35=$G35,AH35=$H35),8,IF(SIGN(AG35-AH35)=SIGN($G35-$H35),3,0)))</f>
        <v>0</v>
      </c>
    </row>
    <row r="36" customFormat="false" ht="15" hidden="false" customHeight="true" outlineLevel="0" collapsed="false">
      <c r="A36" s="10" t="n">
        <v>33</v>
      </c>
      <c r="B36" s="11" t="n">
        <v>46193</v>
      </c>
      <c r="C36" s="12" t="s">
        <v>45</v>
      </c>
      <c r="D36" s="10" t="s">
        <v>69</v>
      </c>
      <c r="E36" s="13" t="s">
        <v>70</v>
      </c>
      <c r="F36" s="13" t="s">
        <v>75</v>
      </c>
      <c r="G36" s="14"/>
      <c r="H36" s="14"/>
      <c r="I36" s="14"/>
      <c r="J36" s="14"/>
      <c r="K36" s="15" t="n">
        <f aca="false">IF(OR(I36="",J36="",$G36="",$H36=""),0,IF(AND(I36=$G36,J36=$H36),8,IF(SIGN(I36-J36)=SIGN($G36-$H36),3,0)))</f>
        <v>0</v>
      </c>
      <c r="L36" s="14"/>
      <c r="M36" s="14"/>
      <c r="N36" s="15" t="n">
        <f aca="false">IF(OR(L36="",M36="",$G36="",$H36=""),0,IF(AND(L36=$G36,M36=$H36),8,IF(SIGN(L36-M36)=SIGN($G36-$H36),3,0)))</f>
        <v>0</v>
      </c>
      <c r="O36" s="14"/>
      <c r="P36" s="14"/>
      <c r="Q36" s="15" t="n">
        <f aca="false">IF(OR(O36="",P36="",$G36="",$H36=""),0,IF(AND(O36=$G36,P36=$H36),8,IF(SIGN(O36-P36)=SIGN($G36-$H36),3,0)))</f>
        <v>0</v>
      </c>
      <c r="R36" s="14"/>
      <c r="S36" s="14"/>
      <c r="T36" s="15" t="n">
        <f aca="false">IF(OR(R36="",S36="",$G36="",$H36=""),0,IF(AND(R36=$G36,S36=$H36),8,IF(SIGN(R36-S36)=SIGN($G36-$H36),3,0)))</f>
        <v>0</v>
      </c>
      <c r="U36" s="14"/>
      <c r="V36" s="14"/>
      <c r="W36" s="15" t="n">
        <f aca="false">IF(OR(U36="",V36="",$G36="",$H36=""),0,IF(AND(U36=$G36,V36=$H36),8,IF(SIGN(U36-V36)=SIGN($G36-$H36),3,0)))</f>
        <v>0</v>
      </c>
      <c r="X36" s="14" t="n">
        <v>1</v>
      </c>
      <c r="Y36" s="14" t="n">
        <v>1</v>
      </c>
      <c r="Z36" s="15" t="n">
        <f aca="false">IF(OR(X36="",Y36="",$G36="",$H36=""),0,IF(AND(X36=$G36,Y36=$H36),8,IF(SIGN(X36-Y36)=SIGN($G36-$H36),3,0)))</f>
        <v>0</v>
      </c>
      <c r="AA36" s="14"/>
      <c r="AB36" s="14"/>
      <c r="AC36" s="15" t="n">
        <f aca="false">IF(OR(AA36="",AB36="",$G36="",$H36=""),0,IF(AND(AA36=$G36,AB36=$H36),8,IF(SIGN(AA36-AB36)=SIGN($G36-$H36),3,0)))</f>
        <v>0</v>
      </c>
      <c r="AD36" s="14"/>
      <c r="AE36" s="14"/>
      <c r="AF36" s="15" t="n">
        <f aca="false">IF(OR(AD36="",AE36="",$G36="",$H36=""),0,IF(AND(AD36=$G36,AE36=$H36),8,IF(SIGN(AD36-AE36)=SIGN($G36-$H36),3,0)))</f>
        <v>0</v>
      </c>
      <c r="AG36" s="14"/>
      <c r="AH36" s="14"/>
      <c r="AI36" s="15" t="n">
        <f aca="false">IF(OR(AG36="",AH36="",$G36="",$H36=""),0,IF(AND(AG36=$G36,AH36=$H36),8,IF(SIGN(AG36-AH36)=SIGN($G36-$H36),3,0)))</f>
        <v>0</v>
      </c>
    </row>
    <row r="37" customFormat="false" ht="15" hidden="false" customHeight="true" outlineLevel="0" collapsed="false">
      <c r="A37" s="16" t="n">
        <v>34</v>
      </c>
      <c r="B37" s="17" t="n">
        <v>46193</v>
      </c>
      <c r="C37" s="18" t="s">
        <v>45</v>
      </c>
      <c r="D37" s="16" t="s">
        <v>66</v>
      </c>
      <c r="E37" s="19" t="s">
        <v>67</v>
      </c>
      <c r="F37" s="19" t="s">
        <v>72</v>
      </c>
      <c r="G37" s="14"/>
      <c r="H37" s="14"/>
      <c r="I37" s="14"/>
      <c r="J37" s="14"/>
      <c r="K37" s="20" t="n">
        <f aca="false">IF(OR(I37="",J37="",$G37="",$H37=""),0,IF(AND(I37=$G37,J37=$H37),8,IF(SIGN(I37-J37)=SIGN($G37-$H37),3,0)))</f>
        <v>0</v>
      </c>
      <c r="L37" s="14"/>
      <c r="M37" s="14"/>
      <c r="N37" s="20" t="n">
        <f aca="false">IF(OR(L37="",M37="",$G37="",$H37=""),0,IF(AND(L37=$G37,M37=$H37),8,IF(SIGN(L37-M37)=SIGN($G37-$H37),3,0)))</f>
        <v>0</v>
      </c>
      <c r="O37" s="14"/>
      <c r="P37" s="14"/>
      <c r="Q37" s="20" t="n">
        <f aca="false">IF(OR(O37="",P37="",$G37="",$H37=""),0,IF(AND(O37=$G37,P37=$H37),8,IF(SIGN(O37-P37)=SIGN($G37-$H37),3,0)))</f>
        <v>0</v>
      </c>
      <c r="R37" s="14"/>
      <c r="S37" s="14"/>
      <c r="T37" s="20" t="n">
        <f aca="false">IF(OR(R37="",S37="",$G37="",$H37=""),0,IF(AND(R37=$G37,S37=$H37),8,IF(SIGN(R37-S37)=SIGN($G37-$H37),3,0)))</f>
        <v>0</v>
      </c>
      <c r="U37" s="14"/>
      <c r="V37" s="14"/>
      <c r="W37" s="20" t="n">
        <f aca="false">IF(OR(U37="",V37="",$G37="",$H37=""),0,IF(AND(U37=$G37,V37=$H37),8,IF(SIGN(U37-V37)=SIGN($G37-$H37),3,0)))</f>
        <v>0</v>
      </c>
      <c r="X37" s="14" t="n">
        <v>2</v>
      </c>
      <c r="Y37" s="14" t="n">
        <v>0</v>
      </c>
      <c r="Z37" s="20" t="n">
        <f aca="false">IF(OR(X37="",Y37="",$G37="",$H37=""),0,IF(AND(X37=$G37,Y37=$H37),8,IF(SIGN(X37-Y37)=SIGN($G37-$H37),3,0)))</f>
        <v>0</v>
      </c>
      <c r="AA37" s="14"/>
      <c r="AB37" s="14"/>
      <c r="AC37" s="20" t="n">
        <f aca="false">IF(OR(AA37="",AB37="",$G37="",$H37=""),0,IF(AND(AA37=$G37,AB37=$H37),8,IF(SIGN(AA37-AB37)=SIGN($G37-$H37),3,0)))</f>
        <v>0</v>
      </c>
      <c r="AD37" s="14"/>
      <c r="AE37" s="14"/>
      <c r="AF37" s="20" t="n">
        <f aca="false">IF(OR(AD37="",AE37="",$G37="",$H37=""),0,IF(AND(AD37=$G37,AE37=$H37),8,IF(SIGN(AD37-AE37)=SIGN($G37-$H37),3,0)))</f>
        <v>0</v>
      </c>
      <c r="AG37" s="14"/>
      <c r="AH37" s="14"/>
      <c r="AI37" s="20" t="n">
        <f aca="false">IF(OR(AG37="",AH37="",$G37="",$H37=""),0,IF(AND(AG37=$G37,AH37=$H37),8,IF(SIGN(AG37-AH37)=SIGN($G37-$H37),3,0)))</f>
        <v>0</v>
      </c>
    </row>
    <row r="38" customFormat="false" ht="15" hidden="false" customHeight="true" outlineLevel="0" collapsed="false">
      <c r="A38" s="10" t="n">
        <v>35</v>
      </c>
      <c r="B38" s="11" t="n">
        <v>46193</v>
      </c>
      <c r="C38" s="12" t="s">
        <v>45</v>
      </c>
      <c r="D38" s="10" t="s">
        <v>66</v>
      </c>
      <c r="E38" s="13" t="s">
        <v>73</v>
      </c>
      <c r="F38" s="13" t="s">
        <v>68</v>
      </c>
      <c r="G38" s="14"/>
      <c r="H38" s="14"/>
      <c r="I38" s="14"/>
      <c r="J38" s="14"/>
      <c r="K38" s="15" t="n">
        <f aca="false">IF(OR(I38="",J38="",$G38="",$H38=""),0,IF(AND(I38=$G38,J38=$H38),8,IF(SIGN(I38-J38)=SIGN($G38-$H38),3,0)))</f>
        <v>0</v>
      </c>
      <c r="L38" s="14"/>
      <c r="M38" s="14"/>
      <c r="N38" s="15" t="n">
        <f aca="false">IF(OR(L38="",M38="",$G38="",$H38=""),0,IF(AND(L38=$G38,M38=$H38),8,IF(SIGN(L38-M38)=SIGN($G38-$H38),3,0)))</f>
        <v>0</v>
      </c>
      <c r="O38" s="14"/>
      <c r="P38" s="14"/>
      <c r="Q38" s="15" t="n">
        <f aca="false">IF(OR(O38="",P38="",$G38="",$H38=""),0,IF(AND(O38=$G38,P38=$H38),8,IF(SIGN(O38-P38)=SIGN($G38-$H38),3,0)))</f>
        <v>0</v>
      </c>
      <c r="R38" s="14"/>
      <c r="S38" s="14"/>
      <c r="T38" s="15" t="n">
        <f aca="false">IF(OR(R38="",S38="",$G38="",$H38=""),0,IF(AND(R38=$G38,S38=$H38),8,IF(SIGN(R38-S38)=SIGN($G38-$H38),3,0)))</f>
        <v>0</v>
      </c>
      <c r="U38" s="14"/>
      <c r="V38" s="14"/>
      <c r="W38" s="15" t="n">
        <f aca="false">IF(OR(U38="",V38="",$G38="",$H38=""),0,IF(AND(U38=$G38,V38=$H38),8,IF(SIGN(U38-V38)=SIGN($G38-$H38),3,0)))</f>
        <v>0</v>
      </c>
      <c r="X38" s="14" t="n">
        <v>1</v>
      </c>
      <c r="Y38" s="14" t="n">
        <v>1</v>
      </c>
      <c r="Z38" s="15" t="n">
        <f aca="false">IF(OR(X38="",Y38="",$G38="",$H38=""),0,IF(AND(X38=$G38,Y38=$H38),8,IF(SIGN(X38-Y38)=SIGN($G38-$H38),3,0)))</f>
        <v>0</v>
      </c>
      <c r="AA38" s="14"/>
      <c r="AB38" s="14"/>
      <c r="AC38" s="15" t="n">
        <f aca="false">IF(OR(AA38="",AB38="",$G38="",$H38=""),0,IF(AND(AA38=$G38,AB38=$H38),8,IF(SIGN(AA38-AB38)=SIGN($G38-$H38),3,0)))</f>
        <v>0</v>
      </c>
      <c r="AD38" s="14"/>
      <c r="AE38" s="14"/>
      <c r="AF38" s="15" t="n">
        <f aca="false">IF(OR(AD38="",AE38="",$G38="",$H38=""),0,IF(AND(AD38=$G38,AE38=$H38),8,IF(SIGN(AD38-AE38)=SIGN($G38-$H38),3,0)))</f>
        <v>0</v>
      </c>
      <c r="AG38" s="14"/>
      <c r="AH38" s="14"/>
      <c r="AI38" s="15" t="n">
        <f aca="false">IF(OR(AG38="",AH38="",$G38="",$H38=""),0,IF(AND(AG38=$G38,AH38=$H38),8,IF(SIGN(AG38-AH38)=SIGN($G38-$H38),3,0)))</f>
        <v>0</v>
      </c>
    </row>
    <row r="39" customFormat="false" ht="15" hidden="false" customHeight="true" outlineLevel="0" collapsed="false">
      <c r="A39" s="16" t="n">
        <v>36</v>
      </c>
      <c r="B39" s="17" t="n">
        <v>46193</v>
      </c>
      <c r="C39" s="18" t="s">
        <v>45</v>
      </c>
      <c r="D39" s="16" t="s">
        <v>69</v>
      </c>
      <c r="E39" s="19" t="s">
        <v>74</v>
      </c>
      <c r="F39" s="19" t="s">
        <v>71</v>
      </c>
      <c r="G39" s="14"/>
      <c r="H39" s="14"/>
      <c r="I39" s="14"/>
      <c r="J39" s="14"/>
      <c r="K39" s="20" t="n">
        <f aca="false">IF(OR(I39="",J39="",$G39="",$H39=""),0,IF(AND(I39=$G39,J39=$H39),8,IF(SIGN(I39-J39)=SIGN($G39-$H39),3,0)))</f>
        <v>0</v>
      </c>
      <c r="L39" s="14"/>
      <c r="M39" s="14"/>
      <c r="N39" s="20" t="n">
        <f aca="false">IF(OR(L39="",M39="",$G39="",$H39=""),0,IF(AND(L39=$G39,M39=$H39),8,IF(SIGN(L39-M39)=SIGN($G39-$H39),3,0)))</f>
        <v>0</v>
      </c>
      <c r="O39" s="14"/>
      <c r="P39" s="14"/>
      <c r="Q39" s="20" t="n">
        <f aca="false">IF(OR(O39="",P39="",$G39="",$H39=""),0,IF(AND(O39=$G39,P39=$H39),8,IF(SIGN(O39-P39)=SIGN($G39-$H39),3,0)))</f>
        <v>0</v>
      </c>
      <c r="R39" s="14"/>
      <c r="S39" s="14"/>
      <c r="T39" s="20" t="n">
        <f aca="false">IF(OR(R39="",S39="",$G39="",$H39=""),0,IF(AND(R39=$G39,S39=$H39),8,IF(SIGN(R39-S39)=SIGN($G39-$H39),3,0)))</f>
        <v>0</v>
      </c>
      <c r="U39" s="14"/>
      <c r="V39" s="14"/>
      <c r="W39" s="20" t="n">
        <f aca="false">IF(OR(U39="",V39="",$G39="",$H39=""),0,IF(AND(U39=$G39,V39=$H39),8,IF(SIGN(U39-V39)=SIGN($G39-$H39),3,0)))</f>
        <v>0</v>
      </c>
      <c r="X39" s="14" t="n">
        <v>1</v>
      </c>
      <c r="Y39" s="14" t="n">
        <v>2</v>
      </c>
      <c r="Z39" s="20" t="n">
        <f aca="false">IF(OR(X39="",Y39="",$G39="",$H39=""),0,IF(AND(X39=$G39,Y39=$H39),8,IF(SIGN(X39-Y39)=SIGN($G39-$H39),3,0)))</f>
        <v>0</v>
      </c>
      <c r="AA39" s="14"/>
      <c r="AB39" s="14"/>
      <c r="AC39" s="20" t="n">
        <f aca="false">IF(OR(AA39="",AB39="",$G39="",$H39=""),0,IF(AND(AA39=$G39,AB39=$H39),8,IF(SIGN(AA39-AB39)=SIGN($G39-$H39),3,0)))</f>
        <v>0</v>
      </c>
      <c r="AD39" s="14"/>
      <c r="AE39" s="14"/>
      <c r="AF39" s="20" t="n">
        <f aca="false">IF(OR(AD39="",AE39="",$G39="",$H39=""),0,IF(AND(AD39=$G39,AE39=$H39),8,IF(SIGN(AD39-AE39)=SIGN($G39-$H39),3,0)))</f>
        <v>0</v>
      </c>
      <c r="AG39" s="14"/>
      <c r="AH39" s="14"/>
      <c r="AI39" s="20" t="n">
        <f aca="false">IF(OR(AG39="",AH39="",$G39="",$H39=""),0,IF(AND(AG39=$G39,AH39=$H39),8,IF(SIGN(AG39-AH39)=SIGN($G39-$H39),3,0)))</f>
        <v>0</v>
      </c>
    </row>
    <row r="40" customFormat="false" ht="15" hidden="false" customHeight="true" outlineLevel="0" collapsed="false">
      <c r="A40" s="10" t="n">
        <v>37</v>
      </c>
      <c r="B40" s="11" t="n">
        <v>46194</v>
      </c>
      <c r="C40" s="12" t="s">
        <v>45</v>
      </c>
      <c r="D40" s="10" t="s">
        <v>76</v>
      </c>
      <c r="E40" s="13" t="s">
        <v>77</v>
      </c>
      <c r="F40" s="13" t="s">
        <v>82</v>
      </c>
      <c r="G40" s="14"/>
      <c r="H40" s="14"/>
      <c r="I40" s="14"/>
      <c r="J40" s="14"/>
      <c r="K40" s="15" t="n">
        <f aca="false">IF(OR(I40="",J40="",$G40="",$H40=""),0,IF(AND(I40=$G40,J40=$H40),8,IF(SIGN(I40-J40)=SIGN($G40-$H40),3,0)))</f>
        <v>0</v>
      </c>
      <c r="L40" s="14"/>
      <c r="M40" s="14"/>
      <c r="N40" s="15" t="n">
        <f aca="false">IF(OR(L40="",M40="",$G40="",$H40=""),0,IF(AND(L40=$G40,M40=$H40),8,IF(SIGN(L40-M40)=SIGN($G40-$H40),3,0)))</f>
        <v>0</v>
      </c>
      <c r="O40" s="14"/>
      <c r="P40" s="14"/>
      <c r="Q40" s="15" t="n">
        <f aca="false">IF(OR(O40="",P40="",$G40="",$H40=""),0,IF(AND(O40=$G40,P40=$H40),8,IF(SIGN(O40-P40)=SIGN($G40-$H40),3,0)))</f>
        <v>0</v>
      </c>
      <c r="R40" s="14"/>
      <c r="S40" s="14"/>
      <c r="T40" s="15" t="n">
        <f aca="false">IF(OR(R40="",S40="",$G40="",$H40=""),0,IF(AND(R40=$G40,S40=$H40),8,IF(SIGN(R40-S40)=SIGN($G40-$H40),3,0)))</f>
        <v>0</v>
      </c>
      <c r="U40" s="14"/>
      <c r="V40" s="14"/>
      <c r="W40" s="15" t="n">
        <f aca="false">IF(OR(U40="",V40="",$G40="",$H40=""),0,IF(AND(U40=$G40,V40=$H40),8,IF(SIGN(U40-V40)=SIGN($G40-$H40),3,0)))</f>
        <v>0</v>
      </c>
      <c r="X40" s="14" t="n">
        <v>3</v>
      </c>
      <c r="Y40" s="14" t="n">
        <v>1</v>
      </c>
      <c r="Z40" s="15" t="n">
        <f aca="false">IF(OR(X40="",Y40="",$G40="",$H40=""),0,IF(AND(X40=$G40,Y40=$H40),8,IF(SIGN(X40-Y40)=SIGN($G40-$H40),3,0)))</f>
        <v>0</v>
      </c>
      <c r="AA40" s="14"/>
      <c r="AB40" s="14"/>
      <c r="AC40" s="15" t="n">
        <f aca="false">IF(OR(AA40="",AB40="",$G40="",$H40=""),0,IF(AND(AA40=$G40,AB40=$H40),8,IF(SIGN(AA40-AB40)=SIGN($G40-$H40),3,0)))</f>
        <v>0</v>
      </c>
      <c r="AD40" s="14"/>
      <c r="AE40" s="14"/>
      <c r="AF40" s="15" t="n">
        <f aca="false">IF(OR(AD40="",AE40="",$G40="",$H40=""),0,IF(AND(AD40=$G40,AE40=$H40),8,IF(SIGN(AD40-AE40)=SIGN($G40-$H40),3,0)))</f>
        <v>0</v>
      </c>
      <c r="AG40" s="14"/>
      <c r="AH40" s="14"/>
      <c r="AI40" s="15" t="n">
        <f aca="false">IF(OR(AG40="",AH40="",$G40="",$H40=""),0,IF(AND(AG40=$G40,AH40=$H40),8,IF(SIGN(AG40-AH40)=SIGN($G40-$H40),3,0)))</f>
        <v>0</v>
      </c>
    </row>
    <row r="41" customFormat="false" ht="15" hidden="false" customHeight="true" outlineLevel="0" collapsed="false">
      <c r="A41" s="16" t="n">
        <v>38</v>
      </c>
      <c r="B41" s="17" t="n">
        <v>46194</v>
      </c>
      <c r="C41" s="18" t="s">
        <v>45</v>
      </c>
      <c r="D41" s="16" t="s">
        <v>79</v>
      </c>
      <c r="E41" s="19" t="s">
        <v>80</v>
      </c>
      <c r="F41" s="19" t="s">
        <v>84</v>
      </c>
      <c r="G41" s="14"/>
      <c r="H41" s="14"/>
      <c r="I41" s="14"/>
      <c r="J41" s="14"/>
      <c r="K41" s="20" t="n">
        <f aca="false">IF(OR(I41="",J41="",$G41="",$H41=""),0,IF(AND(I41=$G41,J41=$H41),8,IF(SIGN(I41-J41)=SIGN($G41-$H41),3,0)))</f>
        <v>0</v>
      </c>
      <c r="L41" s="14"/>
      <c r="M41" s="14"/>
      <c r="N41" s="20" t="n">
        <f aca="false">IF(OR(L41="",M41="",$G41="",$H41=""),0,IF(AND(L41=$G41,M41=$H41),8,IF(SIGN(L41-M41)=SIGN($G41-$H41),3,0)))</f>
        <v>0</v>
      </c>
      <c r="O41" s="14"/>
      <c r="P41" s="14"/>
      <c r="Q41" s="20" t="n">
        <f aca="false">IF(OR(O41="",P41="",$G41="",$H41=""),0,IF(AND(O41=$G41,P41=$H41),8,IF(SIGN(O41-P41)=SIGN($G41-$H41),3,0)))</f>
        <v>0</v>
      </c>
      <c r="R41" s="14"/>
      <c r="S41" s="14"/>
      <c r="T41" s="20" t="n">
        <f aca="false">IF(OR(R41="",S41="",$G41="",$H41=""),0,IF(AND(R41=$G41,S41=$H41),8,IF(SIGN(R41-S41)=SIGN($G41-$H41),3,0)))</f>
        <v>0</v>
      </c>
      <c r="U41" s="14"/>
      <c r="V41" s="14"/>
      <c r="W41" s="20" t="n">
        <f aca="false">IF(OR(U41="",V41="",$G41="",$H41=""),0,IF(AND(U41=$G41,V41=$H41),8,IF(SIGN(U41-V41)=SIGN($G41-$H41),3,0)))</f>
        <v>0</v>
      </c>
      <c r="X41" s="14" t="n">
        <v>2</v>
      </c>
      <c r="Y41" s="14" t="n">
        <v>0</v>
      </c>
      <c r="Z41" s="20" t="n">
        <f aca="false">IF(OR(X41="",Y41="",$G41="",$H41=""),0,IF(AND(X41=$G41,Y41=$H41),8,IF(SIGN(X41-Y41)=SIGN($G41-$H41),3,0)))</f>
        <v>0</v>
      </c>
      <c r="AA41" s="14"/>
      <c r="AB41" s="14"/>
      <c r="AC41" s="20" t="n">
        <f aca="false">IF(OR(AA41="",AB41="",$G41="",$H41=""),0,IF(AND(AA41=$G41,AB41=$H41),8,IF(SIGN(AA41-AB41)=SIGN($G41-$H41),3,0)))</f>
        <v>0</v>
      </c>
      <c r="AD41" s="14"/>
      <c r="AE41" s="14"/>
      <c r="AF41" s="20" t="n">
        <f aca="false">IF(OR(AD41="",AE41="",$G41="",$H41=""),0,IF(AND(AD41=$G41,AE41=$H41),8,IF(SIGN(AD41-AE41)=SIGN($G41-$H41),3,0)))</f>
        <v>0</v>
      </c>
      <c r="AG41" s="14"/>
      <c r="AH41" s="14"/>
      <c r="AI41" s="20" t="n">
        <f aca="false">IF(OR(AG41="",AH41="",$G41="",$H41=""),0,IF(AND(AG41=$G41,AH41=$H41),8,IF(SIGN(AG41-AH41)=SIGN($G41-$H41),3,0)))</f>
        <v>0</v>
      </c>
    </row>
    <row r="42" customFormat="false" ht="15" hidden="false" customHeight="true" outlineLevel="0" collapsed="false">
      <c r="A42" s="10" t="n">
        <v>39</v>
      </c>
      <c r="B42" s="11" t="n">
        <v>46194</v>
      </c>
      <c r="C42" s="12" t="s">
        <v>45</v>
      </c>
      <c r="D42" s="10" t="s">
        <v>76</v>
      </c>
      <c r="E42" s="13" t="s">
        <v>83</v>
      </c>
      <c r="F42" s="13" t="s">
        <v>78</v>
      </c>
      <c r="G42" s="14"/>
      <c r="H42" s="14"/>
      <c r="I42" s="14"/>
      <c r="J42" s="14"/>
      <c r="K42" s="15" t="n">
        <f aca="false">IF(OR(I42="",J42="",$G42="",$H42=""),0,IF(AND(I42=$G42,J42=$H42),8,IF(SIGN(I42-J42)=SIGN($G42-$H42),3,0)))</f>
        <v>0</v>
      </c>
      <c r="L42" s="14"/>
      <c r="M42" s="14"/>
      <c r="N42" s="15" t="n">
        <f aca="false">IF(OR(L42="",M42="",$G42="",$H42=""),0,IF(AND(L42=$G42,M42=$H42),8,IF(SIGN(L42-M42)=SIGN($G42-$H42),3,0)))</f>
        <v>0</v>
      </c>
      <c r="O42" s="14"/>
      <c r="P42" s="14"/>
      <c r="Q42" s="15" t="n">
        <f aca="false">IF(OR(O42="",P42="",$G42="",$H42=""),0,IF(AND(O42=$G42,P42=$H42),8,IF(SIGN(O42-P42)=SIGN($G42-$H42),3,0)))</f>
        <v>0</v>
      </c>
      <c r="R42" s="14"/>
      <c r="S42" s="14"/>
      <c r="T42" s="15" t="n">
        <f aca="false">IF(OR(R42="",S42="",$G42="",$H42=""),0,IF(AND(R42=$G42,S42=$H42),8,IF(SIGN(R42-S42)=SIGN($G42-$H42),3,0)))</f>
        <v>0</v>
      </c>
      <c r="U42" s="14"/>
      <c r="V42" s="14"/>
      <c r="W42" s="15" t="n">
        <f aca="false">IF(OR(U42="",V42="",$G42="",$H42=""),0,IF(AND(U42=$G42,V42=$H42),8,IF(SIGN(U42-V42)=SIGN($G42-$H42),3,0)))</f>
        <v>0</v>
      </c>
      <c r="X42" s="14" t="n">
        <v>1</v>
      </c>
      <c r="Y42" s="14" t="n">
        <v>1</v>
      </c>
      <c r="Z42" s="15" t="n">
        <f aca="false">IF(OR(X42="",Y42="",$G42="",$H42=""),0,IF(AND(X42=$G42,Y42=$H42),8,IF(SIGN(X42-Y42)=SIGN($G42-$H42),3,0)))</f>
        <v>0</v>
      </c>
      <c r="AA42" s="14"/>
      <c r="AB42" s="14"/>
      <c r="AC42" s="15" t="n">
        <f aca="false">IF(OR(AA42="",AB42="",$G42="",$H42=""),0,IF(AND(AA42=$G42,AB42=$H42),8,IF(SIGN(AA42-AB42)=SIGN($G42-$H42),3,0)))</f>
        <v>0</v>
      </c>
      <c r="AD42" s="14"/>
      <c r="AE42" s="14"/>
      <c r="AF42" s="15" t="n">
        <f aca="false">IF(OR(AD42="",AE42="",$G42="",$H42=""),0,IF(AND(AD42=$G42,AE42=$H42),8,IF(SIGN(AD42-AE42)=SIGN($G42-$H42),3,0)))</f>
        <v>0</v>
      </c>
      <c r="AG42" s="14"/>
      <c r="AH42" s="14"/>
      <c r="AI42" s="15" t="n">
        <f aca="false">IF(OR(AG42="",AH42="",$G42="",$H42=""),0,IF(AND(AG42=$G42,AH42=$H42),8,IF(SIGN(AG42-AH42)=SIGN($G42-$H42),3,0)))</f>
        <v>0</v>
      </c>
    </row>
    <row r="43" customFormat="false" ht="15" hidden="false" customHeight="true" outlineLevel="0" collapsed="false">
      <c r="A43" s="16" t="n">
        <v>40</v>
      </c>
      <c r="B43" s="17" t="n">
        <v>46194</v>
      </c>
      <c r="C43" s="18" t="s">
        <v>45</v>
      </c>
      <c r="D43" s="16" t="s">
        <v>79</v>
      </c>
      <c r="E43" s="19" t="s">
        <v>85</v>
      </c>
      <c r="F43" s="19" t="s">
        <v>81</v>
      </c>
      <c r="G43" s="14"/>
      <c r="H43" s="14"/>
      <c r="I43" s="14"/>
      <c r="J43" s="14"/>
      <c r="K43" s="20" t="n">
        <f aca="false">IF(OR(I43="",J43="",$G43="",$H43=""),0,IF(AND(I43=$G43,J43=$H43),8,IF(SIGN(I43-J43)=SIGN($G43-$H43),3,0)))</f>
        <v>0</v>
      </c>
      <c r="L43" s="14"/>
      <c r="M43" s="14"/>
      <c r="N43" s="20" t="n">
        <f aca="false">IF(OR(L43="",M43="",$G43="",$H43=""),0,IF(AND(L43=$G43,M43=$H43),8,IF(SIGN(L43-M43)=SIGN($G43-$H43),3,0)))</f>
        <v>0</v>
      </c>
      <c r="O43" s="14"/>
      <c r="P43" s="14"/>
      <c r="Q43" s="20" t="n">
        <f aca="false">IF(OR(O43="",P43="",$G43="",$H43=""),0,IF(AND(O43=$G43,P43=$H43),8,IF(SIGN(O43-P43)=SIGN($G43-$H43),3,0)))</f>
        <v>0</v>
      </c>
      <c r="R43" s="14"/>
      <c r="S43" s="14"/>
      <c r="T43" s="20" t="n">
        <f aca="false">IF(OR(R43="",S43="",$G43="",$H43=""),0,IF(AND(R43=$G43,S43=$H43),8,IF(SIGN(R43-S43)=SIGN($G43-$H43),3,0)))</f>
        <v>0</v>
      </c>
      <c r="U43" s="14"/>
      <c r="V43" s="14"/>
      <c r="W43" s="20" t="n">
        <f aca="false">IF(OR(U43="",V43="",$G43="",$H43=""),0,IF(AND(U43=$G43,V43=$H43),8,IF(SIGN(U43-V43)=SIGN($G43-$H43),3,0)))</f>
        <v>0</v>
      </c>
      <c r="X43" s="14" t="n">
        <v>1</v>
      </c>
      <c r="Y43" s="14" t="n">
        <v>2</v>
      </c>
      <c r="Z43" s="20" t="n">
        <f aca="false">IF(OR(X43="",Y43="",$G43="",$H43=""),0,IF(AND(X43=$G43,Y43=$H43),8,IF(SIGN(X43-Y43)=SIGN($G43-$H43),3,0)))</f>
        <v>0</v>
      </c>
      <c r="AA43" s="14"/>
      <c r="AB43" s="14"/>
      <c r="AC43" s="20" t="n">
        <f aca="false">IF(OR(AA43="",AB43="",$G43="",$H43=""),0,IF(AND(AA43=$G43,AB43=$H43),8,IF(SIGN(AA43-AB43)=SIGN($G43-$H43),3,0)))</f>
        <v>0</v>
      </c>
      <c r="AD43" s="14"/>
      <c r="AE43" s="14"/>
      <c r="AF43" s="20" t="n">
        <f aca="false">IF(OR(AD43="",AE43="",$G43="",$H43=""),0,IF(AND(AD43=$G43,AE43=$H43),8,IF(SIGN(AD43-AE43)=SIGN($G43-$H43),3,0)))</f>
        <v>0</v>
      </c>
      <c r="AG43" s="14"/>
      <c r="AH43" s="14"/>
      <c r="AI43" s="20" t="n">
        <f aca="false">IF(OR(AG43="",AH43="",$G43="",$H43=""),0,IF(AND(AG43=$G43,AH43=$H43),8,IF(SIGN(AG43-AH43)=SIGN($G43-$H43),3,0)))</f>
        <v>0</v>
      </c>
    </row>
    <row r="44" customFormat="false" ht="15" hidden="false" customHeight="true" outlineLevel="0" collapsed="false">
      <c r="A44" s="10" t="n">
        <v>41</v>
      </c>
      <c r="B44" s="11" t="n">
        <v>46195</v>
      </c>
      <c r="C44" s="12" t="s">
        <v>45</v>
      </c>
      <c r="D44" s="10" t="s">
        <v>91</v>
      </c>
      <c r="E44" s="13" t="s">
        <v>92</v>
      </c>
      <c r="F44" s="13" t="s">
        <v>94</v>
      </c>
      <c r="G44" s="14"/>
      <c r="H44" s="14"/>
      <c r="I44" s="14"/>
      <c r="J44" s="14"/>
      <c r="K44" s="15" t="n">
        <f aca="false">IF(OR(I44="",J44="",$G44="",$H44=""),0,IF(AND(I44=$G44,J44=$H44),8,IF(SIGN(I44-J44)=SIGN($G44-$H44),3,0)))</f>
        <v>0</v>
      </c>
      <c r="L44" s="14"/>
      <c r="M44" s="14"/>
      <c r="N44" s="15" t="n">
        <f aca="false">IF(OR(L44="",M44="",$G44="",$H44=""),0,IF(AND(L44=$G44,M44=$H44),8,IF(SIGN(L44-M44)=SIGN($G44-$H44),3,0)))</f>
        <v>0</v>
      </c>
      <c r="O44" s="14"/>
      <c r="P44" s="14"/>
      <c r="Q44" s="15" t="n">
        <f aca="false">IF(OR(O44="",P44="",$G44="",$H44=""),0,IF(AND(O44=$G44,P44=$H44),8,IF(SIGN(O44-P44)=SIGN($G44-$H44),3,0)))</f>
        <v>0</v>
      </c>
      <c r="R44" s="14"/>
      <c r="S44" s="14"/>
      <c r="T44" s="15" t="n">
        <f aca="false">IF(OR(R44="",S44="",$G44="",$H44=""),0,IF(AND(R44=$G44,S44=$H44),8,IF(SIGN(R44-S44)=SIGN($G44-$H44),3,0)))</f>
        <v>0</v>
      </c>
      <c r="U44" s="14"/>
      <c r="V44" s="14"/>
      <c r="W44" s="15" t="n">
        <f aca="false">IF(OR(U44="",V44="",$G44="",$H44=""),0,IF(AND(U44=$G44,V44=$H44),8,IF(SIGN(U44-V44)=SIGN($G44-$H44),3,0)))</f>
        <v>0</v>
      </c>
      <c r="X44" s="14" t="n">
        <v>2</v>
      </c>
      <c r="Y44" s="14" t="n">
        <v>1</v>
      </c>
      <c r="Z44" s="15" t="n">
        <f aca="false">IF(OR(X44="",Y44="",$G44="",$H44=""),0,IF(AND(X44=$G44,Y44=$H44),8,IF(SIGN(X44-Y44)=SIGN($G44-$H44),3,0)))</f>
        <v>0</v>
      </c>
      <c r="AA44" s="14"/>
      <c r="AB44" s="14"/>
      <c r="AC44" s="15" t="n">
        <f aca="false">IF(OR(AA44="",AB44="",$G44="",$H44=""),0,IF(AND(AA44=$G44,AB44=$H44),8,IF(SIGN(AA44-AB44)=SIGN($G44-$H44),3,0)))</f>
        <v>0</v>
      </c>
      <c r="AD44" s="14"/>
      <c r="AE44" s="14"/>
      <c r="AF44" s="15" t="n">
        <f aca="false">IF(OR(AD44="",AE44="",$G44="",$H44=""),0,IF(AND(AD44=$G44,AE44=$H44),8,IF(SIGN(AD44-AE44)=SIGN($G44-$H44),3,0)))</f>
        <v>0</v>
      </c>
      <c r="AG44" s="14"/>
      <c r="AH44" s="14"/>
      <c r="AI44" s="15" t="n">
        <f aca="false">IF(OR(AG44="",AH44="",$G44="",$H44=""),0,IF(AND(AG44=$G44,AH44=$H44),8,IF(SIGN(AG44-AH44)=SIGN($G44-$H44),3,0)))</f>
        <v>0</v>
      </c>
    </row>
    <row r="45" customFormat="false" ht="15" hidden="false" customHeight="true" outlineLevel="0" collapsed="false">
      <c r="A45" s="16" t="n">
        <v>42</v>
      </c>
      <c r="B45" s="17" t="n">
        <v>46195</v>
      </c>
      <c r="C45" s="18" t="s">
        <v>45</v>
      </c>
      <c r="D45" s="16" t="s">
        <v>86</v>
      </c>
      <c r="E45" s="19" t="s">
        <v>87</v>
      </c>
      <c r="F45" s="19" t="s">
        <v>89</v>
      </c>
      <c r="G45" s="14"/>
      <c r="H45" s="14"/>
      <c r="I45" s="14"/>
      <c r="J45" s="14"/>
      <c r="K45" s="20" t="n">
        <f aca="false">IF(OR(I45="",J45="",$G45="",$H45=""),0,IF(AND(I45=$G45,J45=$H45),8,IF(SIGN(I45-J45)=SIGN($G45-$H45),3,0)))</f>
        <v>0</v>
      </c>
      <c r="L45" s="14"/>
      <c r="M45" s="14"/>
      <c r="N45" s="20" t="n">
        <f aca="false">IF(OR(L45="",M45="",$G45="",$H45=""),0,IF(AND(L45=$G45,M45=$H45),8,IF(SIGN(L45-M45)=SIGN($G45-$H45),3,0)))</f>
        <v>0</v>
      </c>
      <c r="O45" s="14"/>
      <c r="P45" s="14"/>
      <c r="Q45" s="20" t="n">
        <f aca="false">IF(OR(O45="",P45="",$G45="",$H45=""),0,IF(AND(O45=$G45,P45=$H45),8,IF(SIGN(O45-P45)=SIGN($G45-$H45),3,0)))</f>
        <v>0</v>
      </c>
      <c r="R45" s="14"/>
      <c r="S45" s="14"/>
      <c r="T45" s="20" t="n">
        <f aca="false">IF(OR(R45="",S45="",$G45="",$H45=""),0,IF(AND(R45=$G45,S45=$H45),8,IF(SIGN(R45-S45)=SIGN($G45-$H45),3,0)))</f>
        <v>0</v>
      </c>
      <c r="U45" s="14"/>
      <c r="V45" s="14"/>
      <c r="W45" s="20" t="n">
        <f aca="false">IF(OR(U45="",V45="",$G45="",$H45=""),0,IF(AND(U45=$G45,V45=$H45),8,IF(SIGN(U45-V45)=SIGN($G45-$H45),3,0)))</f>
        <v>0</v>
      </c>
      <c r="X45" s="14" t="n">
        <v>3</v>
      </c>
      <c r="Y45" s="14" t="n">
        <v>0</v>
      </c>
      <c r="Z45" s="20" t="n">
        <f aca="false">IF(OR(X45="",Y45="",$G45="",$H45=""),0,IF(AND(X45=$G45,Y45=$H45),8,IF(SIGN(X45-Y45)=SIGN($G45-$H45),3,0)))</f>
        <v>0</v>
      </c>
      <c r="AA45" s="14"/>
      <c r="AB45" s="14"/>
      <c r="AC45" s="20" t="n">
        <f aca="false">IF(OR(AA45="",AB45="",$G45="",$H45=""),0,IF(AND(AA45=$G45,AB45=$H45),8,IF(SIGN(AA45-AB45)=SIGN($G45-$H45),3,0)))</f>
        <v>0</v>
      </c>
      <c r="AD45" s="14"/>
      <c r="AE45" s="14"/>
      <c r="AF45" s="20" t="n">
        <f aca="false">IF(OR(AD45="",AE45="",$G45="",$H45=""),0,IF(AND(AD45=$G45,AE45=$H45),8,IF(SIGN(AD45-AE45)=SIGN($G45-$H45),3,0)))</f>
        <v>0</v>
      </c>
      <c r="AG45" s="14"/>
      <c r="AH45" s="14"/>
      <c r="AI45" s="20" t="n">
        <f aca="false">IF(OR(AG45="",AH45="",$G45="",$H45=""),0,IF(AND(AG45=$G45,AH45=$H45),8,IF(SIGN(AG45-AH45)=SIGN($G45-$H45),3,0)))</f>
        <v>0</v>
      </c>
    </row>
    <row r="46" customFormat="false" ht="15" hidden="false" customHeight="true" outlineLevel="0" collapsed="false">
      <c r="A46" s="10" t="n">
        <v>43</v>
      </c>
      <c r="B46" s="11" t="n">
        <v>46195</v>
      </c>
      <c r="C46" s="12" t="s">
        <v>45</v>
      </c>
      <c r="D46" s="10" t="s">
        <v>86</v>
      </c>
      <c r="E46" s="13" t="s">
        <v>90</v>
      </c>
      <c r="F46" s="13" t="s">
        <v>88</v>
      </c>
      <c r="G46" s="14"/>
      <c r="H46" s="14"/>
      <c r="I46" s="14"/>
      <c r="J46" s="14"/>
      <c r="K46" s="15" t="n">
        <f aca="false">IF(OR(I46="",J46="",$G46="",$H46=""),0,IF(AND(I46=$G46,J46=$H46),8,IF(SIGN(I46-J46)=SIGN($G46-$H46),3,0)))</f>
        <v>0</v>
      </c>
      <c r="L46" s="14"/>
      <c r="M46" s="14"/>
      <c r="N46" s="15" t="n">
        <f aca="false">IF(OR(L46="",M46="",$G46="",$H46=""),0,IF(AND(L46=$G46,M46=$H46),8,IF(SIGN(L46-M46)=SIGN($G46-$H46),3,0)))</f>
        <v>0</v>
      </c>
      <c r="O46" s="14"/>
      <c r="P46" s="14"/>
      <c r="Q46" s="15" t="n">
        <f aca="false">IF(OR(O46="",P46="",$G46="",$H46=""),0,IF(AND(O46=$G46,P46=$H46),8,IF(SIGN(O46-P46)=SIGN($G46-$H46),3,0)))</f>
        <v>0</v>
      </c>
      <c r="R46" s="14"/>
      <c r="S46" s="14"/>
      <c r="T46" s="15" t="n">
        <f aca="false">IF(OR(R46="",S46="",$G46="",$H46=""),0,IF(AND(R46=$G46,S46=$H46),8,IF(SIGN(R46-S46)=SIGN($G46-$H46),3,0)))</f>
        <v>0</v>
      </c>
      <c r="U46" s="14"/>
      <c r="V46" s="14"/>
      <c r="W46" s="15" t="n">
        <f aca="false">IF(OR(U46="",V46="",$G46="",$H46=""),0,IF(AND(U46=$G46,V46=$H46),8,IF(SIGN(U46-V46)=SIGN($G46-$H46),3,0)))</f>
        <v>0</v>
      </c>
      <c r="X46" s="14" t="n">
        <v>1</v>
      </c>
      <c r="Y46" s="14" t="n">
        <v>0</v>
      </c>
      <c r="Z46" s="15" t="n">
        <f aca="false">IF(OR(X46="",Y46="",$G46="",$H46=""),0,IF(AND(X46=$G46,Y46=$H46),8,IF(SIGN(X46-Y46)=SIGN($G46-$H46),3,0)))</f>
        <v>0</v>
      </c>
      <c r="AA46" s="14"/>
      <c r="AB46" s="14"/>
      <c r="AC46" s="15" t="n">
        <f aca="false">IF(OR(AA46="",AB46="",$G46="",$H46=""),0,IF(AND(AA46=$G46,AB46=$H46),8,IF(SIGN(AA46-AB46)=SIGN($G46-$H46),3,0)))</f>
        <v>0</v>
      </c>
      <c r="AD46" s="14"/>
      <c r="AE46" s="14"/>
      <c r="AF46" s="15" t="n">
        <f aca="false">IF(OR(AD46="",AE46="",$G46="",$H46=""),0,IF(AND(AD46=$G46,AE46=$H46),8,IF(SIGN(AD46-AE46)=SIGN($G46-$H46),3,0)))</f>
        <v>0</v>
      </c>
      <c r="AG46" s="14"/>
      <c r="AH46" s="14"/>
      <c r="AI46" s="15" t="n">
        <f aca="false">IF(OR(AG46="",AH46="",$G46="",$H46=""),0,IF(AND(AG46=$G46,AH46=$H46),8,IF(SIGN(AG46-AH46)=SIGN($G46-$H46),3,0)))</f>
        <v>0</v>
      </c>
    </row>
    <row r="47" customFormat="false" ht="15" hidden="false" customHeight="true" outlineLevel="0" collapsed="false">
      <c r="A47" s="16" t="n">
        <v>44</v>
      </c>
      <c r="B47" s="17" t="n">
        <v>46195</v>
      </c>
      <c r="C47" s="18" t="s">
        <v>45</v>
      </c>
      <c r="D47" s="16" t="s">
        <v>91</v>
      </c>
      <c r="E47" s="19" t="s">
        <v>95</v>
      </c>
      <c r="F47" s="19" t="s">
        <v>93</v>
      </c>
      <c r="G47" s="14"/>
      <c r="H47" s="14"/>
      <c r="I47" s="14"/>
      <c r="J47" s="14"/>
      <c r="K47" s="20" t="n">
        <f aca="false">IF(OR(I47="",J47="",$G47="",$H47=""),0,IF(AND(I47=$G47,J47=$H47),8,IF(SIGN(I47-J47)=SIGN($G47-$H47),3,0)))</f>
        <v>0</v>
      </c>
      <c r="L47" s="14"/>
      <c r="M47" s="14"/>
      <c r="N47" s="20" t="n">
        <f aca="false">IF(OR(L47="",M47="",$G47="",$H47=""),0,IF(AND(L47=$G47,M47=$H47),8,IF(SIGN(L47-M47)=SIGN($G47-$H47),3,0)))</f>
        <v>0</v>
      </c>
      <c r="O47" s="14"/>
      <c r="P47" s="14"/>
      <c r="Q47" s="20" t="n">
        <f aca="false">IF(OR(O47="",P47="",$G47="",$H47=""),0,IF(AND(O47=$G47,P47=$H47),8,IF(SIGN(O47-P47)=SIGN($G47-$H47),3,0)))</f>
        <v>0</v>
      </c>
      <c r="R47" s="14"/>
      <c r="S47" s="14"/>
      <c r="T47" s="20" t="n">
        <f aca="false">IF(OR(R47="",S47="",$G47="",$H47=""),0,IF(AND(R47=$G47,S47=$H47),8,IF(SIGN(R47-S47)=SIGN($G47-$H47),3,0)))</f>
        <v>0</v>
      </c>
      <c r="U47" s="14"/>
      <c r="V47" s="14"/>
      <c r="W47" s="20" t="n">
        <f aca="false">IF(OR(U47="",V47="",$G47="",$H47=""),0,IF(AND(U47=$G47,V47=$H47),8,IF(SIGN(U47-V47)=SIGN($G47-$H47),3,0)))</f>
        <v>0</v>
      </c>
      <c r="X47" s="14" t="n">
        <v>1</v>
      </c>
      <c r="Y47" s="14" t="n">
        <v>1</v>
      </c>
      <c r="Z47" s="20" t="n">
        <f aca="false">IF(OR(X47="",Y47="",$G47="",$H47=""),0,IF(AND(X47=$G47,Y47=$H47),8,IF(SIGN(X47-Y47)=SIGN($G47-$H47),3,0)))</f>
        <v>0</v>
      </c>
      <c r="AA47" s="14"/>
      <c r="AB47" s="14"/>
      <c r="AC47" s="20" t="n">
        <f aca="false">IF(OR(AA47="",AB47="",$G47="",$H47=""),0,IF(AND(AA47=$G47,AB47=$H47),8,IF(SIGN(AA47-AB47)=SIGN($G47-$H47),3,0)))</f>
        <v>0</v>
      </c>
      <c r="AD47" s="14"/>
      <c r="AE47" s="14"/>
      <c r="AF47" s="20" t="n">
        <f aca="false">IF(OR(AD47="",AE47="",$G47="",$H47=""),0,IF(AND(AD47=$G47,AE47=$H47),8,IF(SIGN(AD47-AE47)=SIGN($G47-$H47),3,0)))</f>
        <v>0</v>
      </c>
      <c r="AG47" s="14"/>
      <c r="AH47" s="14"/>
      <c r="AI47" s="20" t="n">
        <f aca="false">IF(OR(AG47="",AH47="",$G47="",$H47=""),0,IF(AND(AG47=$G47,AH47=$H47),8,IF(SIGN(AG47-AH47)=SIGN($G47-$H47),3,0)))</f>
        <v>0</v>
      </c>
    </row>
    <row r="48" customFormat="false" ht="15" hidden="false" customHeight="true" outlineLevel="0" collapsed="false">
      <c r="A48" s="10" t="n">
        <v>45</v>
      </c>
      <c r="B48" s="11" t="n">
        <v>46196</v>
      </c>
      <c r="C48" s="12" t="s">
        <v>45</v>
      </c>
      <c r="D48" s="10" t="s">
        <v>96</v>
      </c>
      <c r="E48" s="13" t="s">
        <v>97</v>
      </c>
      <c r="F48" s="13" t="s">
        <v>104</v>
      </c>
      <c r="G48" s="14"/>
      <c r="H48" s="14"/>
      <c r="I48" s="14"/>
      <c r="J48" s="14"/>
      <c r="K48" s="15" t="n">
        <f aca="false">IF(OR(I48="",J48="",$G48="",$H48=""),0,IF(AND(I48=$G48,J48=$H48),8,IF(SIGN(I48-J48)=SIGN($G48-$H48),3,0)))</f>
        <v>0</v>
      </c>
      <c r="L48" s="14"/>
      <c r="M48" s="14"/>
      <c r="N48" s="15" t="n">
        <f aca="false">IF(OR(L48="",M48="",$G48="",$H48=""),0,IF(AND(L48=$G48,M48=$H48),8,IF(SIGN(L48-M48)=SIGN($G48-$H48),3,0)))</f>
        <v>0</v>
      </c>
      <c r="O48" s="14"/>
      <c r="P48" s="14"/>
      <c r="Q48" s="15" t="n">
        <f aca="false">IF(OR(O48="",P48="",$G48="",$H48=""),0,IF(AND(O48=$G48,P48=$H48),8,IF(SIGN(O48-P48)=SIGN($G48-$H48),3,0)))</f>
        <v>0</v>
      </c>
      <c r="R48" s="14"/>
      <c r="S48" s="14"/>
      <c r="T48" s="15" t="n">
        <f aca="false">IF(OR(R48="",S48="",$G48="",$H48=""),0,IF(AND(R48=$G48,S48=$H48),8,IF(SIGN(R48-S48)=SIGN($G48-$H48),3,0)))</f>
        <v>0</v>
      </c>
      <c r="U48" s="14"/>
      <c r="V48" s="14"/>
      <c r="W48" s="15" t="n">
        <f aca="false">IF(OR(U48="",V48="",$G48="",$H48=""),0,IF(AND(U48=$G48,V48=$H48),8,IF(SIGN(U48-V48)=SIGN($G48-$H48),3,0)))</f>
        <v>0</v>
      </c>
      <c r="X48" s="14" t="n">
        <v>2</v>
      </c>
      <c r="Y48" s="14" t="n">
        <v>0</v>
      </c>
      <c r="Z48" s="15" t="n">
        <f aca="false">IF(OR(X48="",Y48="",$G48="",$H48=""),0,IF(AND(X48=$G48,Y48=$H48),8,IF(SIGN(X48-Y48)=SIGN($G48-$H48),3,0)))</f>
        <v>0</v>
      </c>
      <c r="AA48" s="14"/>
      <c r="AB48" s="14"/>
      <c r="AC48" s="15" t="n">
        <f aca="false">IF(OR(AA48="",AB48="",$G48="",$H48=""),0,IF(AND(AA48=$G48,AB48=$H48),8,IF(SIGN(AA48-AB48)=SIGN($G48-$H48),3,0)))</f>
        <v>0</v>
      </c>
      <c r="AD48" s="14"/>
      <c r="AE48" s="14"/>
      <c r="AF48" s="15" t="n">
        <f aca="false">IF(OR(AD48="",AE48="",$G48="",$H48=""),0,IF(AND(AD48=$G48,AE48=$H48),8,IF(SIGN(AD48-AE48)=SIGN($G48-$H48),3,0)))</f>
        <v>0</v>
      </c>
      <c r="AG48" s="14"/>
      <c r="AH48" s="14"/>
      <c r="AI48" s="15" t="n">
        <f aca="false">IF(OR(AG48="",AH48="",$G48="",$H48=""),0,IF(AND(AG48=$G48,AH48=$H48),8,IF(SIGN(AG48-AH48)=SIGN($G48-$H48),3,0)))</f>
        <v>0</v>
      </c>
    </row>
    <row r="49" customFormat="false" ht="15" hidden="false" customHeight="true" outlineLevel="0" collapsed="false">
      <c r="A49" s="16" t="n">
        <v>46</v>
      </c>
      <c r="B49" s="17" t="n">
        <v>46196</v>
      </c>
      <c r="C49" s="18" t="s">
        <v>45</v>
      </c>
      <c r="D49" s="16" t="s">
        <v>99</v>
      </c>
      <c r="E49" s="19" t="s">
        <v>100</v>
      </c>
      <c r="F49" s="19" t="s">
        <v>102</v>
      </c>
      <c r="G49" s="14"/>
      <c r="H49" s="14"/>
      <c r="I49" s="14"/>
      <c r="J49" s="14"/>
      <c r="K49" s="20" t="n">
        <f aca="false">IF(OR(I49="",J49="",$G49="",$H49=""),0,IF(AND(I49=$G49,J49=$H49),8,IF(SIGN(I49-J49)=SIGN($G49-$H49),3,0)))</f>
        <v>0</v>
      </c>
      <c r="L49" s="14"/>
      <c r="M49" s="14"/>
      <c r="N49" s="20" t="n">
        <f aca="false">IF(OR(L49="",M49="",$G49="",$H49=""),0,IF(AND(L49=$G49,M49=$H49),8,IF(SIGN(L49-M49)=SIGN($G49-$H49),3,0)))</f>
        <v>0</v>
      </c>
      <c r="O49" s="14"/>
      <c r="P49" s="14"/>
      <c r="Q49" s="20" t="n">
        <f aca="false">IF(OR(O49="",P49="",$G49="",$H49=""),0,IF(AND(O49=$G49,P49=$H49),8,IF(SIGN(O49-P49)=SIGN($G49-$H49),3,0)))</f>
        <v>0</v>
      </c>
      <c r="R49" s="14"/>
      <c r="S49" s="14"/>
      <c r="T49" s="20" t="n">
        <f aca="false">IF(OR(R49="",S49="",$G49="",$H49=""),0,IF(AND(R49=$G49,S49=$H49),8,IF(SIGN(R49-S49)=SIGN($G49-$H49),3,0)))</f>
        <v>0</v>
      </c>
      <c r="U49" s="14"/>
      <c r="V49" s="14"/>
      <c r="W49" s="20" t="n">
        <f aca="false">IF(OR(U49="",V49="",$G49="",$H49=""),0,IF(AND(U49=$G49,V49=$H49),8,IF(SIGN(U49-V49)=SIGN($G49-$H49),3,0)))</f>
        <v>0</v>
      </c>
      <c r="X49" s="14" t="n">
        <v>2</v>
      </c>
      <c r="Y49" s="14" t="n">
        <v>0</v>
      </c>
      <c r="Z49" s="20" t="n">
        <f aca="false">IF(OR(X49="",Y49="",$G49="",$H49=""),0,IF(AND(X49=$G49,Y49=$H49),8,IF(SIGN(X49-Y49)=SIGN($G49-$H49),3,0)))</f>
        <v>0</v>
      </c>
      <c r="AA49" s="14"/>
      <c r="AB49" s="14"/>
      <c r="AC49" s="20" t="n">
        <f aca="false">IF(OR(AA49="",AB49="",$G49="",$H49=""),0,IF(AND(AA49=$G49,AB49=$H49),8,IF(SIGN(AA49-AB49)=SIGN($G49-$H49),3,0)))</f>
        <v>0</v>
      </c>
      <c r="AD49" s="14"/>
      <c r="AE49" s="14"/>
      <c r="AF49" s="20" t="n">
        <f aca="false">IF(OR(AD49="",AE49="",$G49="",$H49=""),0,IF(AND(AD49=$G49,AE49=$H49),8,IF(SIGN(AD49-AE49)=SIGN($G49-$H49),3,0)))</f>
        <v>0</v>
      </c>
      <c r="AG49" s="14"/>
      <c r="AH49" s="14"/>
      <c r="AI49" s="20" t="n">
        <f aca="false">IF(OR(AG49="",AH49="",$G49="",$H49=""),0,IF(AND(AG49=$G49,AH49=$H49),8,IF(SIGN(AG49-AH49)=SIGN($G49-$H49),3,0)))</f>
        <v>0</v>
      </c>
    </row>
    <row r="50" customFormat="false" ht="15" hidden="false" customHeight="true" outlineLevel="0" collapsed="false">
      <c r="A50" s="10" t="n">
        <v>47</v>
      </c>
      <c r="B50" s="11" t="n">
        <v>46196</v>
      </c>
      <c r="C50" s="12" t="s">
        <v>45</v>
      </c>
      <c r="D50" s="10" t="s">
        <v>99</v>
      </c>
      <c r="E50" s="13" t="s">
        <v>103</v>
      </c>
      <c r="F50" s="13" t="s">
        <v>101</v>
      </c>
      <c r="G50" s="14"/>
      <c r="H50" s="14"/>
      <c r="I50" s="14"/>
      <c r="J50" s="14"/>
      <c r="K50" s="15" t="n">
        <f aca="false">IF(OR(I50="",J50="",$G50="",$H50=""),0,IF(AND(I50=$G50,J50=$H50),8,IF(SIGN(I50-J50)=SIGN($G50-$H50),3,0)))</f>
        <v>0</v>
      </c>
      <c r="L50" s="14"/>
      <c r="M50" s="14"/>
      <c r="N50" s="15" t="n">
        <f aca="false">IF(OR(L50="",M50="",$G50="",$H50=""),0,IF(AND(L50=$G50,M50=$H50),8,IF(SIGN(L50-M50)=SIGN($G50-$H50),3,0)))</f>
        <v>0</v>
      </c>
      <c r="O50" s="14"/>
      <c r="P50" s="14"/>
      <c r="Q50" s="15" t="n">
        <f aca="false">IF(OR(O50="",P50="",$G50="",$H50=""),0,IF(AND(O50=$G50,P50=$H50),8,IF(SIGN(O50-P50)=SIGN($G50-$H50),3,0)))</f>
        <v>0</v>
      </c>
      <c r="R50" s="14"/>
      <c r="S50" s="14"/>
      <c r="T50" s="15" t="n">
        <f aca="false">IF(OR(R50="",S50="",$G50="",$H50=""),0,IF(AND(R50=$G50,S50=$H50),8,IF(SIGN(R50-S50)=SIGN($G50-$H50),3,0)))</f>
        <v>0</v>
      </c>
      <c r="U50" s="14"/>
      <c r="V50" s="14"/>
      <c r="W50" s="15" t="n">
        <f aca="false">IF(OR(U50="",V50="",$G50="",$H50=""),0,IF(AND(U50=$G50,V50=$H50),8,IF(SIGN(U50-V50)=SIGN($G50-$H50),3,0)))</f>
        <v>0</v>
      </c>
      <c r="X50" s="14" t="n">
        <v>1</v>
      </c>
      <c r="Y50" s="14" t="n">
        <v>1</v>
      </c>
      <c r="Z50" s="15" t="n">
        <f aca="false">IF(OR(X50="",Y50="",$G50="",$H50=""),0,IF(AND(X50=$G50,Y50=$H50),8,IF(SIGN(X50-Y50)=SIGN($G50-$H50),3,0)))</f>
        <v>0</v>
      </c>
      <c r="AA50" s="14"/>
      <c r="AB50" s="14"/>
      <c r="AC50" s="15" t="n">
        <f aca="false">IF(OR(AA50="",AB50="",$G50="",$H50=""),0,IF(AND(AA50=$G50,AB50=$H50),8,IF(SIGN(AA50-AB50)=SIGN($G50-$H50),3,0)))</f>
        <v>0</v>
      </c>
      <c r="AD50" s="14"/>
      <c r="AE50" s="14"/>
      <c r="AF50" s="15" t="n">
        <f aca="false">IF(OR(AD50="",AE50="",$G50="",$H50=""),0,IF(AND(AD50=$G50,AE50=$H50),8,IF(SIGN(AD50-AE50)=SIGN($G50-$H50),3,0)))</f>
        <v>0</v>
      </c>
      <c r="AG50" s="14"/>
      <c r="AH50" s="14"/>
      <c r="AI50" s="15" t="n">
        <f aca="false">IF(OR(AG50="",AH50="",$G50="",$H50=""),0,IF(AND(AG50=$G50,AH50=$H50),8,IF(SIGN(AG50-AH50)=SIGN($G50-$H50),3,0)))</f>
        <v>0</v>
      </c>
    </row>
    <row r="51" customFormat="false" ht="15" hidden="false" customHeight="true" outlineLevel="0" collapsed="false">
      <c r="A51" s="16" t="n">
        <v>48</v>
      </c>
      <c r="B51" s="17" t="n">
        <v>46196</v>
      </c>
      <c r="C51" s="18" t="s">
        <v>45</v>
      </c>
      <c r="D51" s="16" t="s">
        <v>96</v>
      </c>
      <c r="E51" s="19" t="s">
        <v>105</v>
      </c>
      <c r="F51" s="19" t="s">
        <v>98</v>
      </c>
      <c r="G51" s="14"/>
      <c r="H51" s="14"/>
      <c r="I51" s="14"/>
      <c r="J51" s="14"/>
      <c r="K51" s="20" t="n">
        <f aca="false">IF(OR(I51="",J51="",$G51="",$H51=""),0,IF(AND(I51=$G51,J51=$H51),8,IF(SIGN(I51-J51)=SIGN($G51-$H51),3,0)))</f>
        <v>0</v>
      </c>
      <c r="L51" s="14"/>
      <c r="M51" s="14"/>
      <c r="N51" s="20" t="n">
        <f aca="false">IF(OR(L51="",M51="",$G51="",$H51=""),0,IF(AND(L51=$G51,M51=$H51),8,IF(SIGN(L51-M51)=SIGN($G51-$H51),3,0)))</f>
        <v>0</v>
      </c>
      <c r="O51" s="14"/>
      <c r="P51" s="14"/>
      <c r="Q51" s="20" t="n">
        <f aca="false">IF(OR(O51="",P51="",$G51="",$H51=""),0,IF(AND(O51=$G51,P51=$H51),8,IF(SIGN(O51-P51)=SIGN($G51-$H51),3,0)))</f>
        <v>0</v>
      </c>
      <c r="R51" s="14"/>
      <c r="S51" s="14"/>
      <c r="T51" s="20" t="n">
        <f aca="false">IF(OR(R51="",S51="",$G51="",$H51=""),0,IF(AND(R51=$G51,S51=$H51),8,IF(SIGN(R51-S51)=SIGN($G51-$H51),3,0)))</f>
        <v>0</v>
      </c>
      <c r="U51" s="14"/>
      <c r="V51" s="14"/>
      <c r="W51" s="20" t="n">
        <f aca="false">IF(OR(U51="",V51="",$G51="",$H51=""),0,IF(AND(U51=$G51,V51=$H51),8,IF(SIGN(U51-V51)=SIGN($G51-$H51),3,0)))</f>
        <v>0</v>
      </c>
      <c r="X51" s="14" t="n">
        <v>1</v>
      </c>
      <c r="Y51" s="14" t="n">
        <v>0</v>
      </c>
      <c r="Z51" s="20" t="n">
        <f aca="false">IF(OR(X51="",Y51="",$G51="",$H51=""),0,IF(AND(X51=$G51,Y51=$H51),8,IF(SIGN(X51-Y51)=SIGN($G51-$H51),3,0)))</f>
        <v>0</v>
      </c>
      <c r="AA51" s="14"/>
      <c r="AB51" s="14"/>
      <c r="AC51" s="20" t="n">
        <f aca="false">IF(OR(AA51="",AB51="",$G51="",$H51=""),0,IF(AND(AA51=$G51,AB51=$H51),8,IF(SIGN(AA51-AB51)=SIGN($G51-$H51),3,0)))</f>
        <v>0</v>
      </c>
      <c r="AD51" s="14"/>
      <c r="AE51" s="14"/>
      <c r="AF51" s="20" t="n">
        <f aca="false">IF(OR(AD51="",AE51="",$G51="",$H51=""),0,IF(AND(AD51=$G51,AE51=$H51),8,IF(SIGN(AD51-AE51)=SIGN($G51-$H51),3,0)))</f>
        <v>0</v>
      </c>
      <c r="AG51" s="14"/>
      <c r="AH51" s="14"/>
      <c r="AI51" s="20" t="n">
        <f aca="false">IF(OR(AG51="",AH51="",$G51="",$H51=""),0,IF(AND(AG51=$G51,AH51=$H51),8,IF(SIGN(AG51-AH51)=SIGN($G51-$H51),3,0)))</f>
        <v>0</v>
      </c>
    </row>
    <row r="52" customFormat="false" ht="15" hidden="false" customHeight="true" outlineLevel="0" collapsed="false">
      <c r="A52" s="10" t="n">
        <v>49</v>
      </c>
      <c r="B52" s="11" t="n">
        <v>46197</v>
      </c>
      <c r="C52" s="12" t="s">
        <v>45</v>
      </c>
      <c r="D52" s="10" t="s">
        <v>51</v>
      </c>
      <c r="E52" s="13" t="s">
        <v>58</v>
      </c>
      <c r="F52" s="13" t="s">
        <v>52</v>
      </c>
      <c r="G52" s="14"/>
      <c r="H52" s="14"/>
      <c r="I52" s="14"/>
      <c r="J52" s="14"/>
      <c r="K52" s="15" t="n">
        <f aca="false">IF(OR(I52="",J52="",$G52="",$H52=""),0,IF(AND(I52=$G52,J52=$H52),8,IF(SIGN(I52-J52)=SIGN($G52-$H52),3,0)))</f>
        <v>0</v>
      </c>
      <c r="L52" s="14"/>
      <c r="M52" s="14"/>
      <c r="N52" s="15" t="n">
        <f aca="false">IF(OR(L52="",M52="",$G52="",$H52=""),0,IF(AND(L52=$G52,M52=$H52),8,IF(SIGN(L52-M52)=SIGN($G52-$H52),3,0)))</f>
        <v>0</v>
      </c>
      <c r="O52" s="14"/>
      <c r="P52" s="14"/>
      <c r="Q52" s="15" t="n">
        <f aca="false">IF(OR(O52="",P52="",$G52="",$H52=""),0,IF(AND(O52=$G52,P52=$H52),8,IF(SIGN(O52-P52)=SIGN($G52-$H52),3,0)))</f>
        <v>0</v>
      </c>
      <c r="R52" s="14"/>
      <c r="S52" s="14"/>
      <c r="T52" s="15" t="n">
        <f aca="false">IF(OR(R52="",S52="",$G52="",$H52=""),0,IF(AND(R52=$G52,S52=$H52),8,IF(SIGN(R52-S52)=SIGN($G52-$H52),3,0)))</f>
        <v>0</v>
      </c>
      <c r="U52" s="14"/>
      <c r="V52" s="14"/>
      <c r="W52" s="15" t="n">
        <f aca="false">IF(OR(U52="",V52="",$G52="",$H52=""),0,IF(AND(U52=$G52,V52=$H52),8,IF(SIGN(U52-V52)=SIGN($G52-$H52),3,0)))</f>
        <v>0</v>
      </c>
      <c r="X52" s="14" t="n">
        <v>1</v>
      </c>
      <c r="Y52" s="14" t="n">
        <v>2</v>
      </c>
      <c r="Z52" s="15" t="n">
        <f aca="false">IF(OR(X52="",Y52="",$G52="",$H52=""),0,IF(AND(X52=$G52,Y52=$H52),8,IF(SIGN(X52-Y52)=SIGN($G52-$H52),3,0)))</f>
        <v>0</v>
      </c>
      <c r="AA52" s="14"/>
      <c r="AB52" s="14"/>
      <c r="AC52" s="15" t="n">
        <f aca="false">IF(OR(AA52="",AB52="",$G52="",$H52=""),0,IF(AND(AA52=$G52,AB52=$H52),8,IF(SIGN(AA52-AB52)=SIGN($G52-$H52),3,0)))</f>
        <v>0</v>
      </c>
      <c r="AD52" s="14"/>
      <c r="AE52" s="14"/>
      <c r="AF52" s="15" t="n">
        <f aca="false">IF(OR(AD52="",AE52="",$G52="",$H52=""),0,IF(AND(AD52=$G52,AE52=$H52),8,IF(SIGN(AD52-AE52)=SIGN($G52-$H52),3,0)))</f>
        <v>0</v>
      </c>
      <c r="AG52" s="14"/>
      <c r="AH52" s="14"/>
      <c r="AI52" s="15" t="n">
        <f aca="false">IF(OR(AG52="",AH52="",$G52="",$H52=""),0,IF(AND(AG52=$G52,AH52=$H52),8,IF(SIGN(AG52-AH52)=SIGN($G52-$H52),3,0)))</f>
        <v>0</v>
      </c>
    </row>
    <row r="53" customFormat="false" ht="15" hidden="false" customHeight="true" outlineLevel="0" collapsed="false">
      <c r="A53" s="16" t="n">
        <v>50</v>
      </c>
      <c r="B53" s="17" t="n">
        <v>46197</v>
      </c>
      <c r="C53" s="18" t="s">
        <v>45</v>
      </c>
      <c r="D53" s="16" t="s">
        <v>51</v>
      </c>
      <c r="E53" s="19" t="s">
        <v>53</v>
      </c>
      <c r="F53" s="19" t="s">
        <v>57</v>
      </c>
      <c r="G53" s="14"/>
      <c r="H53" s="14"/>
      <c r="I53" s="14"/>
      <c r="J53" s="14"/>
      <c r="K53" s="20" t="n">
        <f aca="false">IF(OR(I53="",J53="",$G53="",$H53=""),0,IF(AND(I53=$G53,J53=$H53),8,IF(SIGN(I53-J53)=SIGN($G53-$H53),3,0)))</f>
        <v>0</v>
      </c>
      <c r="L53" s="14"/>
      <c r="M53" s="14"/>
      <c r="N53" s="20" t="n">
        <f aca="false">IF(OR(L53="",M53="",$G53="",$H53=""),0,IF(AND(L53=$G53,M53=$H53),8,IF(SIGN(L53-M53)=SIGN($G53-$H53),3,0)))</f>
        <v>0</v>
      </c>
      <c r="O53" s="14"/>
      <c r="P53" s="14"/>
      <c r="Q53" s="20" t="n">
        <f aca="false">IF(OR(O53="",P53="",$G53="",$H53=""),0,IF(AND(O53=$G53,P53=$H53),8,IF(SIGN(O53-P53)=SIGN($G53-$H53),3,0)))</f>
        <v>0</v>
      </c>
      <c r="R53" s="14"/>
      <c r="S53" s="14"/>
      <c r="T53" s="20" t="n">
        <f aca="false">IF(OR(R53="",S53="",$G53="",$H53=""),0,IF(AND(R53=$G53,S53=$H53),8,IF(SIGN(R53-S53)=SIGN($G53-$H53),3,0)))</f>
        <v>0</v>
      </c>
      <c r="U53" s="14"/>
      <c r="V53" s="14"/>
      <c r="W53" s="20" t="n">
        <f aca="false">IF(OR(U53="",V53="",$G53="",$H53=""),0,IF(AND(U53=$G53,V53=$H53),8,IF(SIGN(U53-V53)=SIGN($G53-$H53),3,0)))</f>
        <v>0</v>
      </c>
      <c r="X53" s="14" t="n">
        <v>1</v>
      </c>
      <c r="Y53" s="14" t="n">
        <v>1</v>
      </c>
      <c r="Z53" s="20" t="n">
        <f aca="false">IF(OR(X53="",Y53="",$G53="",$H53=""),0,IF(AND(X53=$G53,Y53=$H53),8,IF(SIGN(X53-Y53)=SIGN($G53-$H53),3,0)))</f>
        <v>0</v>
      </c>
      <c r="AA53" s="14"/>
      <c r="AB53" s="14"/>
      <c r="AC53" s="20" t="n">
        <f aca="false">IF(OR(AA53="",AB53="",$G53="",$H53=""),0,IF(AND(AA53=$G53,AB53=$H53),8,IF(SIGN(AA53-AB53)=SIGN($G53-$H53),3,0)))</f>
        <v>0</v>
      </c>
      <c r="AD53" s="14"/>
      <c r="AE53" s="14"/>
      <c r="AF53" s="20" t="n">
        <f aca="false">IF(OR(AD53="",AE53="",$G53="",$H53=""),0,IF(AND(AD53=$G53,AE53=$H53),8,IF(SIGN(AD53-AE53)=SIGN($G53-$H53),3,0)))</f>
        <v>0</v>
      </c>
      <c r="AG53" s="14"/>
      <c r="AH53" s="14"/>
      <c r="AI53" s="20" t="n">
        <f aca="false">IF(OR(AG53="",AH53="",$G53="",$H53=""),0,IF(AND(AG53=$G53,AH53=$H53),8,IF(SIGN(AG53-AH53)=SIGN($G53-$H53),3,0)))</f>
        <v>0</v>
      </c>
    </row>
    <row r="54" customFormat="false" ht="15" hidden="false" customHeight="true" outlineLevel="0" collapsed="false">
      <c r="A54" s="10" t="n">
        <v>51</v>
      </c>
      <c r="B54" s="11" t="n">
        <v>46197</v>
      </c>
      <c r="C54" s="12" t="s">
        <v>45</v>
      </c>
      <c r="D54" s="10" t="s">
        <v>59</v>
      </c>
      <c r="E54" s="13" t="s">
        <v>60</v>
      </c>
      <c r="F54" s="13" t="s">
        <v>63</v>
      </c>
      <c r="G54" s="14"/>
      <c r="H54" s="14"/>
      <c r="I54" s="14"/>
      <c r="J54" s="14"/>
      <c r="K54" s="15" t="n">
        <f aca="false">IF(OR(I54="",J54="",$G54="",$H54=""),0,IF(AND(I54=$G54,J54=$H54),8,IF(SIGN(I54-J54)=SIGN($G54-$H54),3,0)))</f>
        <v>0</v>
      </c>
      <c r="L54" s="14"/>
      <c r="M54" s="14"/>
      <c r="N54" s="15" t="n">
        <f aca="false">IF(OR(L54="",M54="",$G54="",$H54=""),0,IF(AND(L54=$G54,M54=$H54),8,IF(SIGN(L54-M54)=SIGN($G54-$H54),3,0)))</f>
        <v>0</v>
      </c>
      <c r="O54" s="14"/>
      <c r="P54" s="14"/>
      <c r="Q54" s="15" t="n">
        <f aca="false">IF(OR(O54="",P54="",$G54="",$H54=""),0,IF(AND(O54=$G54,P54=$H54),8,IF(SIGN(O54-P54)=SIGN($G54-$H54),3,0)))</f>
        <v>0</v>
      </c>
      <c r="R54" s="14"/>
      <c r="S54" s="14"/>
      <c r="T54" s="15" t="n">
        <f aca="false">IF(OR(R54="",S54="",$G54="",$H54=""),0,IF(AND(R54=$G54,S54=$H54),8,IF(SIGN(R54-S54)=SIGN($G54-$H54),3,0)))</f>
        <v>0</v>
      </c>
      <c r="U54" s="14"/>
      <c r="V54" s="14"/>
      <c r="W54" s="15" t="n">
        <f aca="false">IF(OR(U54="",V54="",$G54="",$H54=""),0,IF(AND(U54=$G54,V54=$H54),8,IF(SIGN(U54-V54)=SIGN($G54-$H54),3,0)))</f>
        <v>0</v>
      </c>
      <c r="X54" s="14" t="n">
        <v>2</v>
      </c>
      <c r="Y54" s="14" t="n">
        <v>3</v>
      </c>
      <c r="Z54" s="15" t="n">
        <f aca="false">IF(OR(X54="",Y54="",$G54="",$H54=""),0,IF(AND(X54=$G54,Y54=$H54),8,IF(SIGN(X54-Y54)=SIGN($G54-$H54),3,0)))</f>
        <v>0</v>
      </c>
      <c r="AA54" s="14"/>
      <c r="AB54" s="14"/>
      <c r="AC54" s="15" t="n">
        <f aca="false">IF(OR(AA54="",AB54="",$G54="",$H54=""),0,IF(AND(AA54=$G54,AB54=$H54),8,IF(SIGN(AA54-AB54)=SIGN($G54-$H54),3,0)))</f>
        <v>0</v>
      </c>
      <c r="AD54" s="14"/>
      <c r="AE54" s="14"/>
      <c r="AF54" s="15" t="n">
        <f aca="false">IF(OR(AD54="",AE54="",$G54="",$H54=""),0,IF(AND(AD54=$G54,AE54=$H54),8,IF(SIGN(AD54-AE54)=SIGN($G54-$H54),3,0)))</f>
        <v>0</v>
      </c>
      <c r="AG54" s="14"/>
      <c r="AH54" s="14"/>
      <c r="AI54" s="15" t="n">
        <f aca="false">IF(OR(AG54="",AH54="",$G54="",$H54=""),0,IF(AND(AG54=$G54,AH54=$H54),8,IF(SIGN(AG54-AH54)=SIGN($G54-$H54),3,0)))</f>
        <v>0</v>
      </c>
    </row>
    <row r="55" customFormat="false" ht="15" hidden="false" customHeight="true" outlineLevel="0" collapsed="false">
      <c r="A55" s="16" t="n">
        <v>52</v>
      </c>
      <c r="B55" s="17" t="n">
        <v>46197</v>
      </c>
      <c r="C55" s="18" t="s">
        <v>45</v>
      </c>
      <c r="D55" s="16" t="s">
        <v>59</v>
      </c>
      <c r="E55" s="19" t="s">
        <v>61</v>
      </c>
      <c r="F55" s="19" t="s">
        <v>62</v>
      </c>
      <c r="G55" s="14"/>
      <c r="H55" s="14"/>
      <c r="I55" s="14"/>
      <c r="J55" s="14"/>
      <c r="K55" s="20" t="n">
        <f aca="false">IF(OR(I55="",J55="",$G55="",$H55=""),0,IF(AND(I55=$G55,J55=$H55),8,IF(SIGN(I55-J55)=SIGN($G55-$H55),3,0)))</f>
        <v>0</v>
      </c>
      <c r="L55" s="14"/>
      <c r="M55" s="14"/>
      <c r="N55" s="20" t="n">
        <f aca="false">IF(OR(L55="",M55="",$G55="",$H55=""),0,IF(AND(L55=$G55,M55=$H55),8,IF(SIGN(L55-M55)=SIGN($G55-$H55),3,0)))</f>
        <v>0</v>
      </c>
      <c r="O55" s="14"/>
      <c r="P55" s="14"/>
      <c r="Q55" s="20" t="n">
        <f aca="false">IF(OR(O55="",P55="",$G55="",$H55=""),0,IF(AND(O55=$G55,P55=$H55),8,IF(SIGN(O55-P55)=SIGN($G55-$H55),3,0)))</f>
        <v>0</v>
      </c>
      <c r="R55" s="14"/>
      <c r="S55" s="14"/>
      <c r="T55" s="20" t="n">
        <f aca="false">IF(OR(R55="",S55="",$G55="",$H55=""),0,IF(AND(R55=$G55,S55=$H55),8,IF(SIGN(R55-S55)=SIGN($G55-$H55),3,0)))</f>
        <v>0</v>
      </c>
      <c r="U55" s="14"/>
      <c r="V55" s="14"/>
      <c r="W55" s="20" t="n">
        <f aca="false">IF(OR(U55="",V55="",$G55="",$H55=""),0,IF(AND(U55=$G55,V55=$H55),8,IF(SIGN(U55-V55)=SIGN($G55-$H55),3,0)))</f>
        <v>0</v>
      </c>
      <c r="X55" s="14" t="n">
        <v>1</v>
      </c>
      <c r="Y55" s="14" t="n">
        <v>1</v>
      </c>
      <c r="Z55" s="20" t="n">
        <f aca="false">IF(OR(X55="",Y55="",$G55="",$H55=""),0,IF(AND(X55=$G55,Y55=$H55),8,IF(SIGN(X55-Y55)=SIGN($G55-$H55),3,0)))</f>
        <v>0</v>
      </c>
      <c r="AA55" s="14"/>
      <c r="AB55" s="14"/>
      <c r="AC55" s="20" t="n">
        <f aca="false">IF(OR(AA55="",AB55="",$G55="",$H55=""),0,IF(AND(AA55=$G55,AB55=$H55),8,IF(SIGN(AA55-AB55)=SIGN($G55-$H55),3,0)))</f>
        <v>0</v>
      </c>
      <c r="AD55" s="14"/>
      <c r="AE55" s="14"/>
      <c r="AF55" s="20" t="n">
        <f aca="false">IF(OR(AD55="",AE55="",$G55="",$H55=""),0,IF(AND(AD55=$G55,AE55=$H55),8,IF(SIGN(AD55-AE55)=SIGN($G55-$H55),3,0)))</f>
        <v>0</v>
      </c>
      <c r="AG55" s="14"/>
      <c r="AH55" s="14"/>
      <c r="AI55" s="20" t="n">
        <f aca="false">IF(OR(AG55="",AH55="",$G55="",$H55=""),0,IF(AND(AG55=$G55,AH55=$H55),8,IF(SIGN(AG55-AH55)=SIGN($G55-$H55),3,0)))</f>
        <v>0</v>
      </c>
    </row>
    <row r="56" customFormat="false" ht="15" hidden="false" customHeight="true" outlineLevel="0" collapsed="false">
      <c r="A56" s="10" t="n">
        <v>53</v>
      </c>
      <c r="B56" s="11" t="n">
        <v>46197</v>
      </c>
      <c r="C56" s="12" t="s">
        <v>45</v>
      </c>
      <c r="D56" s="10" t="s">
        <v>46</v>
      </c>
      <c r="E56" s="13" t="s">
        <v>47</v>
      </c>
      <c r="F56" s="13" t="s">
        <v>50</v>
      </c>
      <c r="G56" s="14"/>
      <c r="H56" s="14"/>
      <c r="I56" s="14"/>
      <c r="J56" s="14"/>
      <c r="K56" s="15" t="n">
        <f aca="false">IF(OR(I56="",J56="",$G56="",$H56=""),0,IF(AND(I56=$G56,J56=$H56),8,IF(SIGN(I56-J56)=SIGN($G56-$H56),3,0)))</f>
        <v>0</v>
      </c>
      <c r="L56" s="14"/>
      <c r="M56" s="14"/>
      <c r="N56" s="15" t="n">
        <f aca="false">IF(OR(L56="",M56="",$G56="",$H56=""),0,IF(AND(L56=$G56,M56=$H56),8,IF(SIGN(L56-M56)=SIGN($G56-$H56),3,0)))</f>
        <v>0</v>
      </c>
      <c r="O56" s="14"/>
      <c r="P56" s="14"/>
      <c r="Q56" s="15" t="n">
        <f aca="false">IF(OR(O56="",P56="",$G56="",$H56=""),0,IF(AND(O56=$G56,P56=$H56),8,IF(SIGN(O56-P56)=SIGN($G56-$H56),3,0)))</f>
        <v>0</v>
      </c>
      <c r="R56" s="14"/>
      <c r="S56" s="14"/>
      <c r="T56" s="15" t="n">
        <f aca="false">IF(OR(R56="",S56="",$G56="",$H56=""),0,IF(AND(R56=$G56,S56=$H56),8,IF(SIGN(R56-S56)=SIGN($G56-$H56),3,0)))</f>
        <v>0</v>
      </c>
      <c r="U56" s="14"/>
      <c r="V56" s="14"/>
      <c r="W56" s="15" t="n">
        <f aca="false">IF(OR(U56="",V56="",$G56="",$H56=""),0,IF(AND(U56=$G56,V56=$H56),8,IF(SIGN(U56-V56)=SIGN($G56-$H56),3,0)))</f>
        <v>0</v>
      </c>
      <c r="X56" s="14" t="n">
        <v>3</v>
      </c>
      <c r="Y56" s="14" t="n">
        <v>1</v>
      </c>
      <c r="Z56" s="15" t="n">
        <f aca="false">IF(OR(X56="",Y56="",$G56="",$H56=""),0,IF(AND(X56=$G56,Y56=$H56),8,IF(SIGN(X56-Y56)=SIGN($G56-$H56),3,0)))</f>
        <v>0</v>
      </c>
      <c r="AA56" s="14"/>
      <c r="AB56" s="14"/>
      <c r="AC56" s="15" t="n">
        <f aca="false">IF(OR(AA56="",AB56="",$G56="",$H56=""),0,IF(AND(AA56=$G56,AB56=$H56),8,IF(SIGN(AA56-AB56)=SIGN($G56-$H56),3,0)))</f>
        <v>0</v>
      </c>
      <c r="AD56" s="14"/>
      <c r="AE56" s="14"/>
      <c r="AF56" s="15" t="n">
        <f aca="false">IF(OR(AD56="",AE56="",$G56="",$H56=""),0,IF(AND(AD56=$G56,AE56=$H56),8,IF(SIGN(AD56-AE56)=SIGN($G56-$H56),3,0)))</f>
        <v>0</v>
      </c>
      <c r="AG56" s="14"/>
      <c r="AH56" s="14"/>
      <c r="AI56" s="15" t="n">
        <f aca="false">IF(OR(AG56="",AH56="",$G56="",$H56=""),0,IF(AND(AG56=$G56,AH56=$H56),8,IF(SIGN(AG56-AH56)=SIGN($G56-$H56),3,0)))</f>
        <v>0</v>
      </c>
    </row>
    <row r="57" customFormat="false" ht="15" hidden="false" customHeight="true" outlineLevel="0" collapsed="false">
      <c r="A57" s="16" t="n">
        <v>54</v>
      </c>
      <c r="B57" s="17" t="n">
        <v>46197</v>
      </c>
      <c r="C57" s="18" t="s">
        <v>45</v>
      </c>
      <c r="D57" s="16" t="s">
        <v>46</v>
      </c>
      <c r="E57" s="19" t="s">
        <v>49</v>
      </c>
      <c r="F57" s="19" t="s">
        <v>48</v>
      </c>
      <c r="G57" s="14"/>
      <c r="H57" s="14"/>
      <c r="I57" s="14"/>
      <c r="J57" s="14"/>
      <c r="K57" s="20" t="n">
        <f aca="false">IF(OR(I57="",J57="",$G57="",$H57=""),0,IF(AND(I57=$G57,J57=$H57),8,IF(SIGN(I57-J57)=SIGN($G57-$H57),3,0)))</f>
        <v>0</v>
      </c>
      <c r="L57" s="14"/>
      <c r="M57" s="14"/>
      <c r="N57" s="20" t="n">
        <f aca="false">IF(OR(L57="",M57="",$G57="",$H57=""),0,IF(AND(L57=$G57,M57=$H57),8,IF(SIGN(L57-M57)=SIGN($G57-$H57),3,0)))</f>
        <v>0</v>
      </c>
      <c r="O57" s="14"/>
      <c r="P57" s="14"/>
      <c r="Q57" s="20" t="n">
        <f aca="false">IF(OR(O57="",P57="",$G57="",$H57=""),0,IF(AND(O57=$G57,P57=$H57),8,IF(SIGN(O57-P57)=SIGN($G57-$H57),3,0)))</f>
        <v>0</v>
      </c>
      <c r="R57" s="14"/>
      <c r="S57" s="14"/>
      <c r="T57" s="20" t="n">
        <f aca="false">IF(OR(R57="",S57="",$G57="",$H57=""),0,IF(AND(R57=$G57,S57=$H57),8,IF(SIGN(R57-S57)=SIGN($G57-$H57),3,0)))</f>
        <v>0</v>
      </c>
      <c r="U57" s="14"/>
      <c r="V57" s="14"/>
      <c r="W57" s="20" t="n">
        <f aca="false">IF(OR(U57="",V57="",$G57="",$H57=""),0,IF(AND(U57=$G57,V57=$H57),8,IF(SIGN(U57-V57)=SIGN($G57-$H57),3,0)))</f>
        <v>0</v>
      </c>
      <c r="X57" s="14" t="n">
        <v>2</v>
      </c>
      <c r="Y57" s="14" t="n">
        <v>0</v>
      </c>
      <c r="Z57" s="20" t="n">
        <f aca="false">IF(OR(X57="",Y57="",$G57="",$H57=""),0,IF(AND(X57=$G57,Y57=$H57),8,IF(SIGN(X57-Y57)=SIGN($G57-$H57),3,0)))</f>
        <v>0</v>
      </c>
      <c r="AA57" s="14"/>
      <c r="AB57" s="14"/>
      <c r="AC57" s="20" t="n">
        <f aca="false">IF(OR(AA57="",AB57="",$G57="",$H57=""),0,IF(AND(AA57=$G57,AB57=$H57),8,IF(SIGN(AA57-AB57)=SIGN($G57-$H57),3,0)))</f>
        <v>0</v>
      </c>
      <c r="AD57" s="14"/>
      <c r="AE57" s="14"/>
      <c r="AF57" s="20" t="n">
        <f aca="false">IF(OR(AD57="",AE57="",$G57="",$H57=""),0,IF(AND(AD57=$G57,AE57=$H57),8,IF(SIGN(AD57-AE57)=SIGN($G57-$H57),3,0)))</f>
        <v>0</v>
      </c>
      <c r="AG57" s="14"/>
      <c r="AH57" s="14"/>
      <c r="AI57" s="20" t="n">
        <f aca="false">IF(OR(AG57="",AH57="",$G57="",$H57=""),0,IF(AND(AG57=$G57,AH57=$H57),8,IF(SIGN(AG57-AH57)=SIGN($G57-$H57),3,0)))</f>
        <v>0</v>
      </c>
    </row>
    <row r="58" customFormat="false" ht="15" hidden="false" customHeight="true" outlineLevel="0" collapsed="false">
      <c r="A58" s="10" t="n">
        <v>55</v>
      </c>
      <c r="B58" s="11" t="n">
        <v>46198</v>
      </c>
      <c r="C58" s="12" t="s">
        <v>45</v>
      </c>
      <c r="D58" s="10" t="s">
        <v>66</v>
      </c>
      <c r="E58" s="13" t="s">
        <v>73</v>
      </c>
      <c r="F58" s="13" t="s">
        <v>67</v>
      </c>
      <c r="G58" s="14"/>
      <c r="H58" s="14"/>
      <c r="I58" s="14"/>
      <c r="J58" s="14"/>
      <c r="K58" s="15" t="n">
        <f aca="false">IF(OR(I58="",J58="",$G58="",$H58=""),0,IF(AND(I58=$G58,J58=$H58),8,IF(SIGN(I58-J58)=SIGN($G58-$H58),3,0)))</f>
        <v>0</v>
      </c>
      <c r="L58" s="14"/>
      <c r="M58" s="14"/>
      <c r="N58" s="15" t="n">
        <f aca="false">IF(OR(L58="",M58="",$G58="",$H58=""),0,IF(AND(L58=$G58,M58=$H58),8,IF(SIGN(L58-M58)=SIGN($G58-$H58),3,0)))</f>
        <v>0</v>
      </c>
      <c r="O58" s="14"/>
      <c r="P58" s="14"/>
      <c r="Q58" s="15" t="n">
        <f aca="false">IF(OR(O58="",P58="",$G58="",$H58=""),0,IF(AND(O58=$G58,P58=$H58),8,IF(SIGN(O58-P58)=SIGN($G58-$H58),3,0)))</f>
        <v>0</v>
      </c>
      <c r="R58" s="14"/>
      <c r="S58" s="14"/>
      <c r="T58" s="15" t="n">
        <f aca="false">IF(OR(R58="",S58="",$G58="",$H58=""),0,IF(AND(R58=$G58,S58=$H58),8,IF(SIGN(R58-S58)=SIGN($G58-$H58),3,0)))</f>
        <v>0</v>
      </c>
      <c r="U58" s="14"/>
      <c r="V58" s="14"/>
      <c r="W58" s="15" t="n">
        <f aca="false">IF(OR(U58="",V58="",$G58="",$H58=""),0,IF(AND(U58=$G58,V58=$H58),8,IF(SIGN(U58-V58)=SIGN($G58-$H58),3,0)))</f>
        <v>0</v>
      </c>
      <c r="X58" s="14" t="n">
        <v>1</v>
      </c>
      <c r="Y58" s="14" t="n">
        <v>3</v>
      </c>
      <c r="Z58" s="15" t="n">
        <f aca="false">IF(OR(X58="",Y58="",$G58="",$H58=""),0,IF(AND(X58=$G58,Y58=$H58),8,IF(SIGN(X58-Y58)=SIGN($G58-$H58),3,0)))</f>
        <v>0</v>
      </c>
      <c r="AA58" s="14"/>
      <c r="AB58" s="14"/>
      <c r="AC58" s="15" t="n">
        <f aca="false">IF(OR(AA58="",AB58="",$G58="",$H58=""),0,IF(AND(AA58=$G58,AB58=$H58),8,IF(SIGN(AA58-AB58)=SIGN($G58-$H58),3,0)))</f>
        <v>0</v>
      </c>
      <c r="AD58" s="14"/>
      <c r="AE58" s="14"/>
      <c r="AF58" s="15" t="n">
        <f aca="false">IF(OR(AD58="",AE58="",$G58="",$H58=""),0,IF(AND(AD58=$G58,AE58=$H58),8,IF(SIGN(AD58-AE58)=SIGN($G58-$H58),3,0)))</f>
        <v>0</v>
      </c>
      <c r="AG58" s="14"/>
      <c r="AH58" s="14"/>
      <c r="AI58" s="15" t="n">
        <f aca="false">IF(OR(AG58="",AH58="",$G58="",$H58=""),0,IF(AND(AG58=$G58,AH58=$H58),8,IF(SIGN(AG58-AH58)=SIGN($G58-$H58),3,0)))</f>
        <v>0</v>
      </c>
    </row>
    <row r="59" customFormat="false" ht="15" hidden="false" customHeight="true" outlineLevel="0" collapsed="false">
      <c r="A59" s="16" t="n">
        <v>56</v>
      </c>
      <c r="B59" s="17" t="n">
        <v>46198</v>
      </c>
      <c r="C59" s="18" t="s">
        <v>45</v>
      </c>
      <c r="D59" s="16" t="s">
        <v>66</v>
      </c>
      <c r="E59" s="19" t="s">
        <v>68</v>
      </c>
      <c r="F59" s="19" t="s">
        <v>72</v>
      </c>
      <c r="G59" s="14"/>
      <c r="H59" s="14"/>
      <c r="I59" s="14"/>
      <c r="J59" s="14"/>
      <c r="K59" s="20" t="n">
        <f aca="false">IF(OR(I59="",J59="",$G59="",$H59=""),0,IF(AND(I59=$G59,J59=$H59),8,IF(SIGN(I59-J59)=SIGN($G59-$H59),3,0)))</f>
        <v>0</v>
      </c>
      <c r="L59" s="14"/>
      <c r="M59" s="14"/>
      <c r="N59" s="20" t="n">
        <f aca="false">IF(OR(L59="",M59="",$G59="",$H59=""),0,IF(AND(L59=$G59,M59=$H59),8,IF(SIGN(L59-M59)=SIGN($G59-$H59),3,0)))</f>
        <v>0</v>
      </c>
      <c r="O59" s="14"/>
      <c r="P59" s="14"/>
      <c r="Q59" s="20" t="n">
        <f aca="false">IF(OR(O59="",P59="",$G59="",$H59=""),0,IF(AND(O59=$G59,P59=$H59),8,IF(SIGN(O59-P59)=SIGN($G59-$H59),3,0)))</f>
        <v>0</v>
      </c>
      <c r="R59" s="14"/>
      <c r="S59" s="14"/>
      <c r="T59" s="20" t="n">
        <f aca="false">IF(OR(R59="",S59="",$G59="",$H59=""),0,IF(AND(R59=$G59,S59=$H59),8,IF(SIGN(R59-S59)=SIGN($G59-$H59),3,0)))</f>
        <v>0</v>
      </c>
      <c r="U59" s="14"/>
      <c r="V59" s="14"/>
      <c r="W59" s="20" t="n">
        <f aca="false">IF(OR(U59="",V59="",$G59="",$H59=""),0,IF(AND(U59=$G59,V59=$H59),8,IF(SIGN(U59-V59)=SIGN($G59-$H59),3,0)))</f>
        <v>0</v>
      </c>
      <c r="X59" s="14" t="n">
        <v>1</v>
      </c>
      <c r="Y59" s="14" t="n">
        <v>1</v>
      </c>
      <c r="Z59" s="20" t="n">
        <f aca="false">IF(OR(X59="",Y59="",$G59="",$H59=""),0,IF(AND(X59=$G59,Y59=$H59),8,IF(SIGN(X59-Y59)=SIGN($G59-$H59),3,0)))</f>
        <v>0</v>
      </c>
      <c r="AA59" s="14"/>
      <c r="AB59" s="14"/>
      <c r="AC59" s="20" t="n">
        <f aca="false">IF(OR(AA59="",AB59="",$G59="",$H59=""),0,IF(AND(AA59=$G59,AB59=$H59),8,IF(SIGN(AA59-AB59)=SIGN($G59-$H59),3,0)))</f>
        <v>0</v>
      </c>
      <c r="AD59" s="14"/>
      <c r="AE59" s="14"/>
      <c r="AF59" s="20" t="n">
        <f aca="false">IF(OR(AD59="",AE59="",$G59="",$H59=""),0,IF(AND(AD59=$G59,AE59=$H59),8,IF(SIGN(AD59-AE59)=SIGN($G59-$H59),3,0)))</f>
        <v>0</v>
      </c>
      <c r="AG59" s="14"/>
      <c r="AH59" s="14"/>
      <c r="AI59" s="20" t="n">
        <f aca="false">IF(OR(AG59="",AH59="",$G59="",$H59=""),0,IF(AND(AG59=$G59,AH59=$H59),8,IF(SIGN(AG59-AH59)=SIGN($G59-$H59),3,0)))</f>
        <v>0</v>
      </c>
    </row>
    <row r="60" customFormat="false" ht="15" hidden="false" customHeight="true" outlineLevel="0" collapsed="false">
      <c r="A60" s="10" t="n">
        <v>57</v>
      </c>
      <c r="B60" s="11" t="n">
        <v>46198</v>
      </c>
      <c r="C60" s="12" t="s">
        <v>45</v>
      </c>
      <c r="D60" s="10" t="s">
        <v>69</v>
      </c>
      <c r="E60" s="13" t="s">
        <v>74</v>
      </c>
      <c r="F60" s="13" t="s">
        <v>70</v>
      </c>
      <c r="G60" s="14"/>
      <c r="H60" s="14"/>
      <c r="I60" s="14"/>
      <c r="J60" s="14"/>
      <c r="K60" s="15" t="n">
        <f aca="false">IF(OR(I60="",J60="",$G60="",$H60=""),0,IF(AND(I60=$G60,J60=$H60),8,IF(SIGN(I60-J60)=SIGN($G60-$H60),3,0)))</f>
        <v>0</v>
      </c>
      <c r="L60" s="14"/>
      <c r="M60" s="14"/>
      <c r="N60" s="15" t="n">
        <f aca="false">IF(OR(L60="",M60="",$G60="",$H60=""),0,IF(AND(L60=$G60,M60=$H60),8,IF(SIGN(L60-M60)=SIGN($G60-$H60),3,0)))</f>
        <v>0</v>
      </c>
      <c r="O60" s="14"/>
      <c r="P60" s="14"/>
      <c r="Q60" s="15" t="n">
        <f aca="false">IF(OR(O60="",P60="",$G60="",$H60=""),0,IF(AND(O60=$G60,P60=$H60),8,IF(SIGN(O60-P60)=SIGN($G60-$H60),3,0)))</f>
        <v>0</v>
      </c>
      <c r="R60" s="14"/>
      <c r="S60" s="14"/>
      <c r="T60" s="15" t="n">
        <f aca="false">IF(OR(R60="",S60="",$G60="",$H60=""),0,IF(AND(R60=$G60,S60=$H60),8,IF(SIGN(R60-S60)=SIGN($G60-$H60),3,0)))</f>
        <v>0</v>
      </c>
      <c r="U60" s="14"/>
      <c r="V60" s="14"/>
      <c r="W60" s="15" t="n">
        <f aca="false">IF(OR(U60="",V60="",$G60="",$H60=""),0,IF(AND(U60=$G60,V60=$H60),8,IF(SIGN(U60-V60)=SIGN($G60-$H60),3,0)))</f>
        <v>0</v>
      </c>
      <c r="X60" s="14" t="n">
        <v>0</v>
      </c>
      <c r="Y60" s="14" t="n">
        <v>2</v>
      </c>
      <c r="Z60" s="15" t="n">
        <f aca="false">IF(OR(X60="",Y60="",$G60="",$H60=""),0,IF(AND(X60=$G60,Y60=$H60),8,IF(SIGN(X60-Y60)=SIGN($G60-$H60),3,0)))</f>
        <v>0</v>
      </c>
      <c r="AA60" s="14"/>
      <c r="AB60" s="14"/>
      <c r="AC60" s="15" t="n">
        <f aca="false">IF(OR(AA60="",AB60="",$G60="",$H60=""),0,IF(AND(AA60=$G60,AB60=$H60),8,IF(SIGN(AA60-AB60)=SIGN($G60-$H60),3,0)))</f>
        <v>0</v>
      </c>
      <c r="AD60" s="14"/>
      <c r="AE60" s="14"/>
      <c r="AF60" s="15" t="n">
        <f aca="false">IF(OR(AD60="",AE60="",$G60="",$H60=""),0,IF(AND(AD60=$G60,AE60=$H60),8,IF(SIGN(AD60-AE60)=SIGN($G60-$H60),3,0)))</f>
        <v>0</v>
      </c>
      <c r="AG60" s="14"/>
      <c r="AH60" s="14"/>
      <c r="AI60" s="15" t="n">
        <f aca="false">IF(OR(AG60="",AH60="",$G60="",$H60=""),0,IF(AND(AG60=$G60,AH60=$H60),8,IF(SIGN(AG60-AH60)=SIGN($G60-$H60),3,0)))</f>
        <v>0</v>
      </c>
    </row>
    <row r="61" customFormat="false" ht="15" hidden="false" customHeight="true" outlineLevel="0" collapsed="false">
      <c r="A61" s="16" t="n">
        <v>58</v>
      </c>
      <c r="B61" s="17" t="n">
        <v>46198</v>
      </c>
      <c r="C61" s="18" t="s">
        <v>45</v>
      </c>
      <c r="D61" s="16" t="s">
        <v>69</v>
      </c>
      <c r="E61" s="19" t="s">
        <v>71</v>
      </c>
      <c r="F61" s="19" t="s">
        <v>75</v>
      </c>
      <c r="G61" s="14"/>
      <c r="H61" s="14"/>
      <c r="I61" s="14"/>
      <c r="J61" s="14"/>
      <c r="K61" s="20" t="n">
        <f aca="false">IF(OR(I61="",J61="",$G61="",$H61=""),0,IF(AND(I61=$G61,J61=$H61),8,IF(SIGN(I61-J61)=SIGN($G61-$H61),3,0)))</f>
        <v>0</v>
      </c>
      <c r="L61" s="14"/>
      <c r="M61" s="14"/>
      <c r="N61" s="20" t="n">
        <f aca="false">IF(OR(L61="",M61="",$G61="",$H61=""),0,IF(AND(L61=$G61,M61=$H61),8,IF(SIGN(L61-M61)=SIGN($G61-$H61),3,0)))</f>
        <v>0</v>
      </c>
      <c r="O61" s="14"/>
      <c r="P61" s="14"/>
      <c r="Q61" s="20" t="n">
        <f aca="false">IF(OR(O61="",P61="",$G61="",$H61=""),0,IF(AND(O61=$G61,P61=$H61),8,IF(SIGN(O61-P61)=SIGN($G61-$H61),3,0)))</f>
        <v>0</v>
      </c>
      <c r="R61" s="14"/>
      <c r="S61" s="14"/>
      <c r="T61" s="20" t="n">
        <f aca="false">IF(OR(R61="",S61="",$G61="",$H61=""),0,IF(AND(R61=$G61,S61=$H61),8,IF(SIGN(R61-S61)=SIGN($G61-$H61),3,0)))</f>
        <v>0</v>
      </c>
      <c r="U61" s="14"/>
      <c r="V61" s="14"/>
      <c r="W61" s="20" t="n">
        <f aca="false">IF(OR(U61="",V61="",$G61="",$H61=""),0,IF(AND(U61=$G61,V61=$H61),8,IF(SIGN(U61-V61)=SIGN($G61-$H61),3,0)))</f>
        <v>0</v>
      </c>
      <c r="X61" s="14" t="n">
        <v>2</v>
      </c>
      <c r="Y61" s="14" t="n">
        <v>2</v>
      </c>
      <c r="Z61" s="20" t="n">
        <f aca="false">IF(OR(X61="",Y61="",$G61="",$H61=""),0,IF(AND(X61=$G61,Y61=$H61),8,IF(SIGN(X61-Y61)=SIGN($G61-$H61),3,0)))</f>
        <v>0</v>
      </c>
      <c r="AA61" s="14"/>
      <c r="AB61" s="14"/>
      <c r="AC61" s="20" t="n">
        <f aca="false">IF(OR(AA61="",AB61="",$G61="",$H61=""),0,IF(AND(AA61=$G61,AB61=$H61),8,IF(SIGN(AA61-AB61)=SIGN($G61-$H61),3,0)))</f>
        <v>0</v>
      </c>
      <c r="AD61" s="14"/>
      <c r="AE61" s="14"/>
      <c r="AF61" s="20" t="n">
        <f aca="false">IF(OR(AD61="",AE61="",$G61="",$H61=""),0,IF(AND(AD61=$G61,AE61=$H61),8,IF(SIGN(AD61-AE61)=SIGN($G61-$H61),3,0)))</f>
        <v>0</v>
      </c>
      <c r="AG61" s="14"/>
      <c r="AH61" s="14"/>
      <c r="AI61" s="20" t="n">
        <f aca="false">IF(OR(AG61="",AH61="",$G61="",$H61=""),0,IF(AND(AG61=$G61,AH61=$H61),8,IF(SIGN(AG61-AH61)=SIGN($G61-$H61),3,0)))</f>
        <v>0</v>
      </c>
    </row>
    <row r="62" customFormat="false" ht="15" hidden="false" customHeight="true" outlineLevel="0" collapsed="false">
      <c r="A62" s="10" t="n">
        <v>59</v>
      </c>
      <c r="B62" s="11" t="n">
        <v>46198</v>
      </c>
      <c r="C62" s="12" t="s">
        <v>45</v>
      </c>
      <c r="D62" s="10" t="s">
        <v>54</v>
      </c>
      <c r="E62" s="13" t="s">
        <v>55</v>
      </c>
      <c r="F62" s="13" t="s">
        <v>65</v>
      </c>
      <c r="G62" s="14"/>
      <c r="H62" s="14"/>
      <c r="I62" s="14"/>
      <c r="J62" s="14"/>
      <c r="K62" s="15" t="n">
        <f aca="false">IF(OR(I62="",J62="",$G62="",$H62=""),0,IF(AND(I62=$G62,J62=$H62),8,IF(SIGN(I62-J62)=SIGN($G62-$H62),3,0)))</f>
        <v>0</v>
      </c>
      <c r="L62" s="14"/>
      <c r="M62" s="14"/>
      <c r="N62" s="15" t="n">
        <f aca="false">IF(OR(L62="",M62="",$G62="",$H62=""),0,IF(AND(L62=$G62,M62=$H62),8,IF(SIGN(L62-M62)=SIGN($G62-$H62),3,0)))</f>
        <v>0</v>
      </c>
      <c r="O62" s="14"/>
      <c r="P62" s="14"/>
      <c r="Q62" s="15" t="n">
        <f aca="false">IF(OR(O62="",P62="",$G62="",$H62=""),0,IF(AND(O62=$G62,P62=$H62),8,IF(SIGN(O62-P62)=SIGN($G62-$H62),3,0)))</f>
        <v>0</v>
      </c>
      <c r="R62" s="14"/>
      <c r="S62" s="14"/>
      <c r="T62" s="15" t="n">
        <f aca="false">IF(OR(R62="",S62="",$G62="",$H62=""),0,IF(AND(R62=$G62,S62=$H62),8,IF(SIGN(R62-S62)=SIGN($G62-$H62),3,0)))</f>
        <v>0</v>
      </c>
      <c r="U62" s="14"/>
      <c r="V62" s="14"/>
      <c r="W62" s="15" t="n">
        <f aca="false">IF(OR(U62="",V62="",$G62="",$H62=""),0,IF(AND(U62=$G62,V62=$H62),8,IF(SIGN(U62-V62)=SIGN($G62-$H62),3,0)))</f>
        <v>0</v>
      </c>
      <c r="X62" s="14" t="n">
        <v>0</v>
      </c>
      <c r="Y62" s="14" t="n">
        <v>3</v>
      </c>
      <c r="Z62" s="15" t="n">
        <f aca="false">IF(OR(X62="",Y62="",$G62="",$H62=""),0,IF(AND(X62=$G62,Y62=$H62),8,IF(SIGN(X62-Y62)=SIGN($G62-$H62),3,0)))</f>
        <v>0</v>
      </c>
      <c r="AA62" s="14"/>
      <c r="AB62" s="14"/>
      <c r="AC62" s="15" t="n">
        <f aca="false">IF(OR(AA62="",AB62="",$G62="",$H62=""),0,IF(AND(AA62=$G62,AB62=$H62),8,IF(SIGN(AA62-AB62)=SIGN($G62-$H62),3,0)))</f>
        <v>0</v>
      </c>
      <c r="AD62" s="14"/>
      <c r="AE62" s="14"/>
      <c r="AF62" s="15" t="n">
        <f aca="false">IF(OR(AD62="",AE62="",$G62="",$H62=""),0,IF(AND(AD62=$G62,AE62=$H62),8,IF(SIGN(AD62-AE62)=SIGN($G62-$H62),3,0)))</f>
        <v>0</v>
      </c>
      <c r="AG62" s="14"/>
      <c r="AH62" s="14"/>
      <c r="AI62" s="15" t="n">
        <f aca="false">IF(OR(AG62="",AH62="",$G62="",$H62=""),0,IF(AND(AG62=$G62,AH62=$H62),8,IF(SIGN(AG62-AH62)=SIGN($G62-$H62),3,0)))</f>
        <v>0</v>
      </c>
    </row>
    <row r="63" customFormat="false" ht="15" hidden="false" customHeight="true" outlineLevel="0" collapsed="false">
      <c r="A63" s="16" t="n">
        <v>60</v>
      </c>
      <c r="B63" s="17" t="n">
        <v>46198</v>
      </c>
      <c r="C63" s="18" t="s">
        <v>45</v>
      </c>
      <c r="D63" s="16" t="s">
        <v>54</v>
      </c>
      <c r="E63" s="19" t="s">
        <v>56</v>
      </c>
      <c r="F63" s="19" t="s">
        <v>64</v>
      </c>
      <c r="G63" s="14"/>
      <c r="H63" s="14"/>
      <c r="I63" s="14"/>
      <c r="J63" s="14"/>
      <c r="K63" s="20" t="n">
        <f aca="false">IF(OR(I63="",J63="",$G63="",$H63=""),0,IF(AND(I63=$G63,J63=$H63),8,IF(SIGN(I63-J63)=SIGN($G63-$H63),3,0)))</f>
        <v>0</v>
      </c>
      <c r="L63" s="14"/>
      <c r="M63" s="14"/>
      <c r="N63" s="20" t="n">
        <f aca="false">IF(OR(L63="",M63="",$G63="",$H63=""),0,IF(AND(L63=$G63,M63=$H63),8,IF(SIGN(L63-M63)=SIGN($G63-$H63),3,0)))</f>
        <v>0</v>
      </c>
      <c r="O63" s="14"/>
      <c r="P63" s="14"/>
      <c r="Q63" s="20" t="n">
        <f aca="false">IF(OR(O63="",P63="",$G63="",$H63=""),0,IF(AND(O63=$G63,P63=$H63),8,IF(SIGN(O63-P63)=SIGN($G63-$H63),3,0)))</f>
        <v>0</v>
      </c>
      <c r="R63" s="14"/>
      <c r="S63" s="14"/>
      <c r="T63" s="20" t="n">
        <f aca="false">IF(OR(R63="",S63="",$G63="",$H63=""),0,IF(AND(R63=$G63,S63=$H63),8,IF(SIGN(R63-S63)=SIGN($G63-$H63),3,0)))</f>
        <v>0</v>
      </c>
      <c r="U63" s="14"/>
      <c r="V63" s="14"/>
      <c r="W63" s="20" t="n">
        <f aca="false">IF(OR(U63="",V63="",$G63="",$H63=""),0,IF(AND(U63=$G63,V63=$H63),8,IF(SIGN(U63-V63)=SIGN($G63-$H63),3,0)))</f>
        <v>0</v>
      </c>
      <c r="X63" s="14" t="n">
        <v>0</v>
      </c>
      <c r="Y63" s="14" t="n">
        <v>2</v>
      </c>
      <c r="Z63" s="20" t="n">
        <f aca="false">IF(OR(X63="",Y63="",$G63="",$H63=""),0,IF(AND(X63=$G63,Y63=$H63),8,IF(SIGN(X63-Y63)=SIGN($G63-$H63),3,0)))</f>
        <v>0</v>
      </c>
      <c r="AA63" s="14"/>
      <c r="AB63" s="14"/>
      <c r="AC63" s="20" t="n">
        <f aca="false">IF(OR(AA63="",AB63="",$G63="",$H63=""),0,IF(AND(AA63=$G63,AB63=$H63),8,IF(SIGN(AA63-AB63)=SIGN($G63-$H63),3,0)))</f>
        <v>0</v>
      </c>
      <c r="AD63" s="14"/>
      <c r="AE63" s="14"/>
      <c r="AF63" s="20" t="n">
        <f aca="false">IF(OR(AD63="",AE63="",$G63="",$H63=""),0,IF(AND(AD63=$G63,AE63=$H63),8,IF(SIGN(AD63-AE63)=SIGN($G63-$H63),3,0)))</f>
        <v>0</v>
      </c>
      <c r="AG63" s="14"/>
      <c r="AH63" s="14"/>
      <c r="AI63" s="20" t="n">
        <f aca="false">IF(OR(AG63="",AH63="",$G63="",$H63=""),0,IF(AND(AG63=$G63,AH63=$H63),8,IF(SIGN(AG63-AH63)=SIGN($G63-$H63),3,0)))</f>
        <v>0</v>
      </c>
    </row>
    <row r="64" customFormat="false" ht="15" hidden="false" customHeight="true" outlineLevel="0" collapsed="false">
      <c r="A64" s="10" t="n">
        <v>61</v>
      </c>
      <c r="B64" s="11" t="n">
        <v>46199</v>
      </c>
      <c r="C64" s="12" t="s">
        <v>45</v>
      </c>
      <c r="D64" s="10" t="s">
        <v>86</v>
      </c>
      <c r="E64" s="13" t="s">
        <v>90</v>
      </c>
      <c r="F64" s="13" t="s">
        <v>87</v>
      </c>
      <c r="G64" s="14"/>
      <c r="H64" s="14"/>
      <c r="I64" s="14"/>
      <c r="J64" s="14"/>
      <c r="K64" s="15" t="n">
        <f aca="false">IF(OR(I64="",J64="",$G64="",$H64=""),0,IF(AND(I64=$G64,J64=$H64),8,IF(SIGN(I64-J64)=SIGN($G64-$H64),3,0)))</f>
        <v>0</v>
      </c>
      <c r="L64" s="14"/>
      <c r="M64" s="14"/>
      <c r="N64" s="15" t="n">
        <f aca="false">IF(OR(L64="",M64="",$G64="",$H64=""),0,IF(AND(L64=$G64,M64=$H64),8,IF(SIGN(L64-M64)=SIGN($G64-$H64),3,0)))</f>
        <v>0</v>
      </c>
      <c r="O64" s="14"/>
      <c r="P64" s="14"/>
      <c r="Q64" s="15" t="n">
        <f aca="false">IF(OR(O64="",P64="",$G64="",$H64=""),0,IF(AND(O64=$G64,P64=$H64),8,IF(SIGN(O64-P64)=SIGN($G64-$H64),3,0)))</f>
        <v>0</v>
      </c>
      <c r="R64" s="14"/>
      <c r="S64" s="14"/>
      <c r="T64" s="15" t="n">
        <f aca="false">IF(OR(R64="",S64="",$G64="",$H64=""),0,IF(AND(R64=$G64,S64=$H64),8,IF(SIGN(R64-S64)=SIGN($G64-$H64),3,0)))</f>
        <v>0</v>
      </c>
      <c r="U64" s="14"/>
      <c r="V64" s="14"/>
      <c r="W64" s="15" t="n">
        <f aca="false">IF(OR(U64="",V64="",$G64="",$H64=""),0,IF(AND(U64=$G64,V64=$H64),8,IF(SIGN(U64-V64)=SIGN($G64-$H64),3,0)))</f>
        <v>0</v>
      </c>
      <c r="X64" s="14" t="n">
        <v>1</v>
      </c>
      <c r="Y64" s="14" t="n">
        <v>2</v>
      </c>
      <c r="Z64" s="15" t="n">
        <f aca="false">IF(OR(X64="",Y64="",$G64="",$H64=""),0,IF(AND(X64=$G64,Y64=$H64),8,IF(SIGN(X64-Y64)=SIGN($G64-$H64),3,0)))</f>
        <v>0</v>
      </c>
      <c r="AA64" s="14"/>
      <c r="AB64" s="14"/>
      <c r="AC64" s="15" t="n">
        <f aca="false">IF(OR(AA64="",AB64="",$G64="",$H64=""),0,IF(AND(AA64=$G64,AB64=$H64),8,IF(SIGN(AA64-AB64)=SIGN($G64-$H64),3,0)))</f>
        <v>0</v>
      </c>
      <c r="AD64" s="14"/>
      <c r="AE64" s="14"/>
      <c r="AF64" s="15" t="n">
        <f aca="false">IF(OR(AD64="",AE64="",$G64="",$H64=""),0,IF(AND(AD64=$G64,AE64=$H64),8,IF(SIGN(AD64-AE64)=SIGN($G64-$H64),3,0)))</f>
        <v>0</v>
      </c>
      <c r="AG64" s="14"/>
      <c r="AH64" s="14"/>
      <c r="AI64" s="15" t="n">
        <f aca="false">IF(OR(AG64="",AH64="",$G64="",$H64=""),0,IF(AND(AG64=$G64,AH64=$H64),8,IF(SIGN(AG64-AH64)=SIGN($G64-$H64),3,0)))</f>
        <v>0</v>
      </c>
    </row>
    <row r="65" customFormat="false" ht="15" hidden="false" customHeight="true" outlineLevel="0" collapsed="false">
      <c r="A65" s="16" t="n">
        <v>62</v>
      </c>
      <c r="B65" s="17" t="n">
        <v>46199</v>
      </c>
      <c r="C65" s="18" t="s">
        <v>45</v>
      </c>
      <c r="D65" s="16" t="s">
        <v>86</v>
      </c>
      <c r="E65" s="19" t="s">
        <v>88</v>
      </c>
      <c r="F65" s="19" t="s">
        <v>89</v>
      </c>
      <c r="G65" s="14"/>
      <c r="H65" s="14"/>
      <c r="I65" s="14"/>
      <c r="J65" s="14"/>
      <c r="K65" s="20" t="n">
        <f aca="false">IF(OR(I65="",J65="",$G65="",$H65=""),0,IF(AND(I65=$G65,J65=$H65),8,IF(SIGN(I65-J65)=SIGN($G65-$H65),3,0)))</f>
        <v>0</v>
      </c>
      <c r="L65" s="14"/>
      <c r="M65" s="14"/>
      <c r="N65" s="20" t="n">
        <f aca="false">IF(OR(L65="",M65="",$G65="",$H65=""),0,IF(AND(L65=$G65,M65=$H65),8,IF(SIGN(L65-M65)=SIGN($G65-$H65),3,0)))</f>
        <v>0</v>
      </c>
      <c r="O65" s="14"/>
      <c r="P65" s="14"/>
      <c r="Q65" s="20" t="n">
        <f aca="false">IF(OR(O65="",P65="",$G65="",$H65=""),0,IF(AND(O65=$G65,P65=$H65),8,IF(SIGN(O65-P65)=SIGN($G65-$H65),3,0)))</f>
        <v>0</v>
      </c>
      <c r="R65" s="14"/>
      <c r="S65" s="14"/>
      <c r="T65" s="20" t="n">
        <f aca="false">IF(OR(R65="",S65="",$G65="",$H65=""),0,IF(AND(R65=$G65,S65=$H65),8,IF(SIGN(R65-S65)=SIGN($G65-$H65),3,0)))</f>
        <v>0</v>
      </c>
      <c r="U65" s="14"/>
      <c r="V65" s="14"/>
      <c r="W65" s="20" t="n">
        <f aca="false">IF(OR(U65="",V65="",$G65="",$H65=""),0,IF(AND(U65=$G65,V65=$H65),8,IF(SIGN(U65-V65)=SIGN($G65-$H65),3,0)))</f>
        <v>0</v>
      </c>
      <c r="X65" s="14" t="n">
        <v>0</v>
      </c>
      <c r="Y65" s="14" t="n">
        <v>2</v>
      </c>
      <c r="Z65" s="20" t="n">
        <f aca="false">IF(OR(X65="",Y65="",$G65="",$H65=""),0,IF(AND(X65=$G65,Y65=$H65),8,IF(SIGN(X65-Y65)=SIGN($G65-$H65),3,0)))</f>
        <v>0</v>
      </c>
      <c r="AA65" s="14"/>
      <c r="AB65" s="14"/>
      <c r="AC65" s="20" t="n">
        <f aca="false">IF(OR(AA65="",AB65="",$G65="",$H65=""),0,IF(AND(AA65=$G65,AB65=$H65),8,IF(SIGN(AA65-AB65)=SIGN($G65-$H65),3,0)))</f>
        <v>0</v>
      </c>
      <c r="AD65" s="14"/>
      <c r="AE65" s="14"/>
      <c r="AF65" s="20" t="n">
        <f aca="false">IF(OR(AD65="",AE65="",$G65="",$H65=""),0,IF(AND(AD65=$G65,AE65=$H65),8,IF(SIGN(AD65-AE65)=SIGN($G65-$H65),3,0)))</f>
        <v>0</v>
      </c>
      <c r="AG65" s="14"/>
      <c r="AH65" s="14"/>
      <c r="AI65" s="20" t="n">
        <f aca="false">IF(OR(AG65="",AH65="",$G65="",$H65=""),0,IF(AND(AG65=$G65,AH65=$H65),8,IF(SIGN(AG65-AH65)=SIGN($G65-$H65),3,0)))</f>
        <v>0</v>
      </c>
    </row>
    <row r="66" customFormat="false" ht="15" hidden="false" customHeight="true" outlineLevel="0" collapsed="false">
      <c r="A66" s="10" t="n">
        <v>63</v>
      </c>
      <c r="B66" s="11" t="n">
        <v>46199</v>
      </c>
      <c r="C66" s="12" t="s">
        <v>45</v>
      </c>
      <c r="D66" s="10" t="s">
        <v>76</v>
      </c>
      <c r="E66" s="13" t="s">
        <v>83</v>
      </c>
      <c r="F66" s="13" t="s">
        <v>77</v>
      </c>
      <c r="G66" s="14"/>
      <c r="H66" s="14"/>
      <c r="I66" s="14"/>
      <c r="J66" s="14"/>
      <c r="K66" s="15" t="n">
        <f aca="false">IF(OR(I66="",J66="",$G66="",$H66=""),0,IF(AND(I66=$G66,J66=$H66),8,IF(SIGN(I66-J66)=SIGN($G66-$H66),3,0)))</f>
        <v>0</v>
      </c>
      <c r="L66" s="14"/>
      <c r="M66" s="14"/>
      <c r="N66" s="15" t="n">
        <f aca="false">IF(OR(L66="",M66="",$G66="",$H66=""),0,IF(AND(L66=$G66,M66=$H66),8,IF(SIGN(L66-M66)=SIGN($G66-$H66),3,0)))</f>
        <v>0</v>
      </c>
      <c r="O66" s="14"/>
      <c r="P66" s="14"/>
      <c r="Q66" s="15" t="n">
        <f aca="false">IF(OR(O66="",P66="",$G66="",$H66=""),0,IF(AND(O66=$G66,P66=$H66),8,IF(SIGN(O66-P66)=SIGN($G66-$H66),3,0)))</f>
        <v>0</v>
      </c>
      <c r="R66" s="14"/>
      <c r="S66" s="14"/>
      <c r="T66" s="15" t="n">
        <f aca="false">IF(OR(R66="",S66="",$G66="",$H66=""),0,IF(AND(R66=$G66,S66=$H66),8,IF(SIGN(R66-S66)=SIGN($G66-$H66),3,0)))</f>
        <v>0</v>
      </c>
      <c r="U66" s="14"/>
      <c r="V66" s="14"/>
      <c r="W66" s="15" t="n">
        <f aca="false">IF(OR(U66="",V66="",$G66="",$H66=""),0,IF(AND(U66=$G66,V66=$H66),8,IF(SIGN(U66-V66)=SIGN($G66-$H66),3,0)))</f>
        <v>0</v>
      </c>
      <c r="X66" s="14" t="n">
        <v>0</v>
      </c>
      <c r="Y66" s="14" t="n">
        <v>2</v>
      </c>
      <c r="Z66" s="15" t="n">
        <f aca="false">IF(OR(X66="",Y66="",$G66="",$H66=""),0,IF(AND(X66=$G66,Y66=$H66),8,IF(SIGN(X66-Y66)=SIGN($G66-$H66),3,0)))</f>
        <v>0</v>
      </c>
      <c r="AA66" s="14"/>
      <c r="AB66" s="14"/>
      <c r="AC66" s="15" t="n">
        <f aca="false">IF(OR(AA66="",AB66="",$G66="",$H66=""),0,IF(AND(AA66=$G66,AB66=$H66),8,IF(SIGN(AA66-AB66)=SIGN($G66-$H66),3,0)))</f>
        <v>0</v>
      </c>
      <c r="AD66" s="14"/>
      <c r="AE66" s="14"/>
      <c r="AF66" s="15" t="n">
        <f aca="false">IF(OR(AD66="",AE66="",$G66="",$H66=""),0,IF(AND(AD66=$G66,AE66=$H66),8,IF(SIGN(AD66-AE66)=SIGN($G66-$H66),3,0)))</f>
        <v>0</v>
      </c>
      <c r="AG66" s="14"/>
      <c r="AH66" s="14"/>
      <c r="AI66" s="15" t="n">
        <f aca="false">IF(OR(AG66="",AH66="",$G66="",$H66=""),0,IF(AND(AG66=$G66,AH66=$H66),8,IF(SIGN(AG66-AH66)=SIGN($G66-$H66),3,0)))</f>
        <v>0</v>
      </c>
    </row>
    <row r="67" customFormat="false" ht="15" hidden="false" customHeight="true" outlineLevel="0" collapsed="false">
      <c r="A67" s="16" t="n">
        <v>64</v>
      </c>
      <c r="B67" s="17" t="n">
        <v>46199</v>
      </c>
      <c r="C67" s="18" t="s">
        <v>45</v>
      </c>
      <c r="D67" s="16" t="s">
        <v>76</v>
      </c>
      <c r="E67" s="19" t="s">
        <v>78</v>
      </c>
      <c r="F67" s="19" t="s">
        <v>82</v>
      </c>
      <c r="G67" s="14"/>
      <c r="H67" s="14"/>
      <c r="I67" s="14"/>
      <c r="J67" s="14"/>
      <c r="K67" s="20" t="n">
        <f aca="false">IF(OR(I67="",J67="",$G67="",$H67=""),0,IF(AND(I67=$G67,J67=$H67),8,IF(SIGN(I67-J67)=SIGN($G67-$H67),3,0)))</f>
        <v>0</v>
      </c>
      <c r="L67" s="14"/>
      <c r="M67" s="14"/>
      <c r="N67" s="20" t="n">
        <f aca="false">IF(OR(L67="",M67="",$G67="",$H67=""),0,IF(AND(L67=$G67,M67=$H67),8,IF(SIGN(L67-M67)=SIGN($G67-$H67),3,0)))</f>
        <v>0</v>
      </c>
      <c r="O67" s="14"/>
      <c r="P67" s="14"/>
      <c r="Q67" s="20" t="n">
        <f aca="false">IF(OR(O67="",P67="",$G67="",$H67=""),0,IF(AND(O67=$G67,P67=$H67),8,IF(SIGN(O67-P67)=SIGN($G67-$H67),3,0)))</f>
        <v>0</v>
      </c>
      <c r="R67" s="14"/>
      <c r="S67" s="14"/>
      <c r="T67" s="20" t="n">
        <f aca="false">IF(OR(R67="",S67="",$G67="",$H67=""),0,IF(AND(R67=$G67,S67=$H67),8,IF(SIGN(R67-S67)=SIGN($G67-$H67),3,0)))</f>
        <v>0</v>
      </c>
      <c r="U67" s="14"/>
      <c r="V67" s="14"/>
      <c r="W67" s="20" t="n">
        <f aca="false">IF(OR(U67="",V67="",$G67="",$H67=""),0,IF(AND(U67=$G67,V67=$H67),8,IF(SIGN(U67-V67)=SIGN($G67-$H67),3,0)))</f>
        <v>0</v>
      </c>
      <c r="X67" s="14" t="n">
        <v>0</v>
      </c>
      <c r="Y67" s="14" t="n">
        <v>1</v>
      </c>
      <c r="Z67" s="20" t="n">
        <f aca="false">IF(OR(X67="",Y67="",$G67="",$H67=""),0,IF(AND(X67=$G67,Y67=$H67),8,IF(SIGN(X67-Y67)=SIGN($G67-$H67),3,0)))</f>
        <v>0</v>
      </c>
      <c r="AA67" s="14"/>
      <c r="AB67" s="14"/>
      <c r="AC67" s="20" t="n">
        <f aca="false">IF(OR(AA67="",AB67="",$G67="",$H67=""),0,IF(AND(AA67=$G67,AB67=$H67),8,IF(SIGN(AA67-AB67)=SIGN($G67-$H67),3,0)))</f>
        <v>0</v>
      </c>
      <c r="AD67" s="14"/>
      <c r="AE67" s="14"/>
      <c r="AF67" s="20" t="n">
        <f aca="false">IF(OR(AD67="",AE67="",$G67="",$H67=""),0,IF(AND(AD67=$G67,AE67=$H67),8,IF(SIGN(AD67-AE67)=SIGN($G67-$H67),3,0)))</f>
        <v>0</v>
      </c>
      <c r="AG67" s="14"/>
      <c r="AH67" s="14"/>
      <c r="AI67" s="20" t="n">
        <f aca="false">IF(OR(AG67="",AH67="",$G67="",$H67=""),0,IF(AND(AG67=$G67,AH67=$H67),8,IF(SIGN(AG67-AH67)=SIGN($G67-$H67),3,0)))</f>
        <v>0</v>
      </c>
    </row>
    <row r="68" customFormat="false" ht="15" hidden="false" customHeight="true" outlineLevel="0" collapsed="false">
      <c r="A68" s="10" t="n">
        <v>65</v>
      </c>
      <c r="B68" s="11" t="n">
        <v>46199</v>
      </c>
      <c r="C68" s="12" t="s">
        <v>45</v>
      </c>
      <c r="D68" s="10" t="s">
        <v>79</v>
      </c>
      <c r="E68" s="13" t="s">
        <v>85</v>
      </c>
      <c r="F68" s="13" t="s">
        <v>80</v>
      </c>
      <c r="G68" s="14"/>
      <c r="H68" s="14"/>
      <c r="I68" s="14"/>
      <c r="J68" s="14"/>
      <c r="K68" s="15" t="n">
        <f aca="false">IF(OR(I68="",J68="",$G68="",$H68=""),0,IF(AND(I68=$G68,J68=$H68),8,IF(SIGN(I68-J68)=SIGN($G68-$H68),3,0)))</f>
        <v>0</v>
      </c>
      <c r="L68" s="14"/>
      <c r="M68" s="14"/>
      <c r="N68" s="15" t="n">
        <f aca="false">IF(OR(L68="",M68="",$G68="",$H68=""),0,IF(AND(L68=$G68,M68=$H68),8,IF(SIGN(L68-M68)=SIGN($G68-$H68),3,0)))</f>
        <v>0</v>
      </c>
      <c r="O68" s="14"/>
      <c r="P68" s="14"/>
      <c r="Q68" s="15" t="n">
        <f aca="false">IF(OR(O68="",P68="",$G68="",$H68=""),0,IF(AND(O68=$G68,P68=$H68),8,IF(SIGN(O68-P68)=SIGN($G68-$H68),3,0)))</f>
        <v>0</v>
      </c>
      <c r="R68" s="14"/>
      <c r="S68" s="14"/>
      <c r="T68" s="15" t="n">
        <f aca="false">IF(OR(R68="",S68="",$G68="",$H68=""),0,IF(AND(R68=$G68,S68=$H68),8,IF(SIGN(R68-S68)=SIGN($G68-$H68),3,0)))</f>
        <v>0</v>
      </c>
      <c r="U68" s="14"/>
      <c r="V68" s="14"/>
      <c r="W68" s="15" t="n">
        <f aca="false">IF(OR(U68="",V68="",$G68="",$H68=""),0,IF(AND(U68=$G68,V68=$H68),8,IF(SIGN(U68-V68)=SIGN($G68-$H68),3,0)))</f>
        <v>0</v>
      </c>
      <c r="X68" s="14" t="n">
        <v>0</v>
      </c>
      <c r="Y68" s="14" t="n">
        <v>2</v>
      </c>
      <c r="Z68" s="15" t="n">
        <f aca="false">IF(OR(X68="",Y68="",$G68="",$H68=""),0,IF(AND(X68=$G68,Y68=$H68),8,IF(SIGN(X68-Y68)=SIGN($G68-$H68),3,0)))</f>
        <v>0</v>
      </c>
      <c r="AA68" s="14"/>
      <c r="AB68" s="14"/>
      <c r="AC68" s="15" t="n">
        <f aca="false">IF(OR(AA68="",AB68="",$G68="",$H68=""),0,IF(AND(AA68=$G68,AB68=$H68),8,IF(SIGN(AA68-AB68)=SIGN($G68-$H68),3,0)))</f>
        <v>0</v>
      </c>
      <c r="AD68" s="14"/>
      <c r="AE68" s="14"/>
      <c r="AF68" s="15" t="n">
        <f aca="false">IF(OR(AD68="",AE68="",$G68="",$H68=""),0,IF(AND(AD68=$G68,AE68=$H68),8,IF(SIGN(AD68-AE68)=SIGN($G68-$H68),3,0)))</f>
        <v>0</v>
      </c>
      <c r="AG68" s="14"/>
      <c r="AH68" s="14"/>
      <c r="AI68" s="15" t="n">
        <f aca="false">IF(OR(AG68="",AH68="",$G68="",$H68=""),0,IF(AND(AG68=$G68,AH68=$H68),8,IF(SIGN(AG68-AH68)=SIGN($G68-$H68),3,0)))</f>
        <v>0</v>
      </c>
    </row>
    <row r="69" customFormat="false" ht="15" hidden="false" customHeight="true" outlineLevel="0" collapsed="false">
      <c r="A69" s="16" t="n">
        <v>66</v>
      </c>
      <c r="B69" s="17" t="n">
        <v>46199</v>
      </c>
      <c r="C69" s="18" t="s">
        <v>45</v>
      </c>
      <c r="D69" s="16" t="s">
        <v>79</v>
      </c>
      <c r="E69" s="19" t="s">
        <v>81</v>
      </c>
      <c r="F69" s="19" t="s">
        <v>84</v>
      </c>
      <c r="G69" s="14"/>
      <c r="H69" s="14"/>
      <c r="I69" s="14"/>
      <c r="J69" s="14"/>
      <c r="K69" s="20" t="n">
        <f aca="false">IF(OR(I69="",J69="",$G69="",$H69=""),0,IF(AND(I69=$G69,J69=$H69),8,IF(SIGN(I69-J69)=SIGN($G69-$H69),3,0)))</f>
        <v>0</v>
      </c>
      <c r="L69" s="14"/>
      <c r="M69" s="14"/>
      <c r="N69" s="20" t="n">
        <f aca="false">IF(OR(L69="",M69="",$G69="",$H69=""),0,IF(AND(L69=$G69,M69=$H69),8,IF(SIGN(L69-M69)=SIGN($G69-$H69),3,0)))</f>
        <v>0</v>
      </c>
      <c r="O69" s="14"/>
      <c r="P69" s="14"/>
      <c r="Q69" s="20" t="n">
        <f aca="false">IF(OR(O69="",P69="",$G69="",$H69=""),0,IF(AND(O69=$G69,P69=$H69),8,IF(SIGN(O69-P69)=SIGN($G69-$H69),3,0)))</f>
        <v>0</v>
      </c>
      <c r="R69" s="14"/>
      <c r="S69" s="14"/>
      <c r="T69" s="20" t="n">
        <f aca="false">IF(OR(R69="",S69="",$G69="",$H69=""),0,IF(AND(R69=$G69,S69=$H69),8,IF(SIGN(R69-S69)=SIGN($G69-$H69),3,0)))</f>
        <v>0</v>
      </c>
      <c r="U69" s="14"/>
      <c r="V69" s="14"/>
      <c r="W69" s="20" t="n">
        <f aca="false">IF(OR(U69="",V69="",$G69="",$H69=""),0,IF(AND(U69=$G69,V69=$H69),8,IF(SIGN(U69-V69)=SIGN($G69-$H69),3,0)))</f>
        <v>0</v>
      </c>
      <c r="X69" s="14" t="n">
        <v>3</v>
      </c>
      <c r="Y69" s="14" t="n">
        <v>0</v>
      </c>
      <c r="Z69" s="20" t="n">
        <f aca="false">IF(OR(X69="",Y69="",$G69="",$H69=""),0,IF(AND(X69=$G69,Y69=$H69),8,IF(SIGN(X69-Y69)=SIGN($G69-$H69),3,0)))</f>
        <v>0</v>
      </c>
      <c r="AA69" s="14"/>
      <c r="AB69" s="14"/>
      <c r="AC69" s="20" t="n">
        <f aca="false">IF(OR(AA69="",AB69="",$G69="",$H69=""),0,IF(AND(AA69=$G69,AB69=$H69),8,IF(SIGN(AA69-AB69)=SIGN($G69-$H69),3,0)))</f>
        <v>0</v>
      </c>
      <c r="AD69" s="14"/>
      <c r="AE69" s="14"/>
      <c r="AF69" s="20" t="n">
        <f aca="false">IF(OR(AD69="",AE69="",$G69="",$H69=""),0,IF(AND(AD69=$G69,AE69=$H69),8,IF(SIGN(AD69-AE69)=SIGN($G69-$H69),3,0)))</f>
        <v>0</v>
      </c>
      <c r="AG69" s="14"/>
      <c r="AH69" s="14"/>
      <c r="AI69" s="20" t="n">
        <f aca="false">IF(OR(AG69="",AH69="",$G69="",$H69=""),0,IF(AND(AG69=$G69,AH69=$H69),8,IF(SIGN(AG69-AH69)=SIGN($G69-$H69),3,0)))</f>
        <v>0</v>
      </c>
    </row>
    <row r="70" customFormat="false" ht="15" hidden="false" customHeight="true" outlineLevel="0" collapsed="false">
      <c r="A70" s="10" t="n">
        <v>67</v>
      </c>
      <c r="B70" s="11" t="n">
        <v>46200</v>
      </c>
      <c r="C70" s="12" t="s">
        <v>45</v>
      </c>
      <c r="D70" s="10" t="s">
        <v>99</v>
      </c>
      <c r="E70" s="13" t="s">
        <v>103</v>
      </c>
      <c r="F70" s="13" t="s">
        <v>100</v>
      </c>
      <c r="G70" s="14"/>
      <c r="H70" s="14"/>
      <c r="I70" s="14"/>
      <c r="J70" s="14"/>
      <c r="K70" s="15" t="n">
        <f aca="false">IF(OR(I70="",J70="",$G70="",$H70=""),0,IF(AND(I70=$G70,J70=$H70),8,IF(SIGN(I70-J70)=SIGN($G70-$H70),3,0)))</f>
        <v>0</v>
      </c>
      <c r="L70" s="14"/>
      <c r="M70" s="14"/>
      <c r="N70" s="15" t="n">
        <f aca="false">IF(OR(L70="",M70="",$G70="",$H70=""),0,IF(AND(L70=$G70,M70=$H70),8,IF(SIGN(L70-M70)=SIGN($G70-$H70),3,0)))</f>
        <v>0</v>
      </c>
      <c r="O70" s="14"/>
      <c r="P70" s="14"/>
      <c r="Q70" s="15" t="n">
        <f aca="false">IF(OR(O70="",P70="",$G70="",$H70=""),0,IF(AND(O70=$G70,P70=$H70),8,IF(SIGN(O70-P70)=SIGN($G70-$H70),3,0)))</f>
        <v>0</v>
      </c>
      <c r="R70" s="14"/>
      <c r="S70" s="14"/>
      <c r="T70" s="15" t="n">
        <f aca="false">IF(OR(R70="",S70="",$G70="",$H70=""),0,IF(AND(R70=$G70,S70=$H70),8,IF(SIGN(R70-S70)=SIGN($G70-$H70),3,0)))</f>
        <v>0</v>
      </c>
      <c r="U70" s="14"/>
      <c r="V70" s="14"/>
      <c r="W70" s="15" t="n">
        <f aca="false">IF(OR(U70="",V70="",$G70="",$H70=""),0,IF(AND(U70=$G70,V70=$H70),8,IF(SIGN(U70-V70)=SIGN($G70-$H70),3,0)))</f>
        <v>0</v>
      </c>
      <c r="X70" s="14" t="n">
        <v>0</v>
      </c>
      <c r="Y70" s="14" t="n">
        <v>2</v>
      </c>
      <c r="Z70" s="15" t="n">
        <f aca="false">IF(OR(X70="",Y70="",$G70="",$H70=""),0,IF(AND(X70=$G70,Y70=$H70),8,IF(SIGN(X70-Y70)=SIGN($G70-$H70),3,0)))</f>
        <v>0</v>
      </c>
      <c r="AA70" s="14"/>
      <c r="AB70" s="14"/>
      <c r="AC70" s="15" t="n">
        <f aca="false">IF(OR(AA70="",AB70="",$G70="",$H70=""),0,IF(AND(AA70=$G70,AB70=$H70),8,IF(SIGN(AA70-AB70)=SIGN($G70-$H70),3,0)))</f>
        <v>0</v>
      </c>
      <c r="AD70" s="14"/>
      <c r="AE70" s="14"/>
      <c r="AF70" s="15" t="n">
        <f aca="false">IF(OR(AD70="",AE70="",$G70="",$H70=""),0,IF(AND(AD70=$G70,AE70=$H70),8,IF(SIGN(AD70-AE70)=SIGN($G70-$H70),3,0)))</f>
        <v>0</v>
      </c>
      <c r="AG70" s="14"/>
      <c r="AH70" s="14"/>
      <c r="AI70" s="15" t="n">
        <f aca="false">IF(OR(AG70="",AH70="",$G70="",$H70=""),0,IF(AND(AG70=$G70,AH70=$H70),8,IF(SIGN(AG70-AH70)=SIGN($G70-$H70),3,0)))</f>
        <v>0</v>
      </c>
    </row>
    <row r="71" customFormat="false" ht="15" hidden="false" customHeight="true" outlineLevel="0" collapsed="false">
      <c r="A71" s="16" t="n">
        <v>68</v>
      </c>
      <c r="B71" s="17" t="n">
        <v>46200</v>
      </c>
      <c r="C71" s="18" t="s">
        <v>45</v>
      </c>
      <c r="D71" s="16" t="s">
        <v>99</v>
      </c>
      <c r="E71" s="19" t="s">
        <v>101</v>
      </c>
      <c r="F71" s="19" t="s">
        <v>102</v>
      </c>
      <c r="G71" s="14"/>
      <c r="H71" s="14"/>
      <c r="I71" s="14"/>
      <c r="J71" s="14"/>
      <c r="K71" s="20" t="n">
        <f aca="false">IF(OR(I71="",J71="",$G71="",$H71=""),0,IF(AND(I71=$G71,J71=$H71),8,IF(SIGN(I71-J71)=SIGN($G71-$H71),3,0)))</f>
        <v>0</v>
      </c>
      <c r="L71" s="14"/>
      <c r="M71" s="14"/>
      <c r="N71" s="20" t="n">
        <f aca="false">IF(OR(L71="",M71="",$G71="",$H71=""),0,IF(AND(L71=$G71,M71=$H71),8,IF(SIGN(L71-M71)=SIGN($G71-$H71),3,0)))</f>
        <v>0</v>
      </c>
      <c r="O71" s="14"/>
      <c r="P71" s="14"/>
      <c r="Q71" s="20" t="n">
        <f aca="false">IF(OR(O71="",P71="",$G71="",$H71=""),0,IF(AND(O71=$G71,P71=$H71),8,IF(SIGN(O71-P71)=SIGN($G71-$H71),3,0)))</f>
        <v>0</v>
      </c>
      <c r="R71" s="14"/>
      <c r="S71" s="14"/>
      <c r="T71" s="20" t="n">
        <f aca="false">IF(OR(R71="",S71="",$G71="",$H71=""),0,IF(AND(R71=$G71,S71=$H71),8,IF(SIGN(R71-S71)=SIGN($G71-$H71),3,0)))</f>
        <v>0</v>
      </c>
      <c r="U71" s="14"/>
      <c r="V71" s="14"/>
      <c r="W71" s="20" t="n">
        <f aca="false">IF(OR(U71="",V71="",$G71="",$H71=""),0,IF(AND(U71=$G71,V71=$H71),8,IF(SIGN(U71-V71)=SIGN($G71-$H71),3,0)))</f>
        <v>0</v>
      </c>
      <c r="X71" s="14" t="n">
        <v>0</v>
      </c>
      <c r="Y71" s="14" t="n">
        <v>0</v>
      </c>
      <c r="Z71" s="20" t="n">
        <f aca="false">IF(OR(X71="",Y71="",$G71="",$H71=""),0,IF(AND(X71=$G71,Y71=$H71),8,IF(SIGN(X71-Y71)=SIGN($G71-$H71),3,0)))</f>
        <v>0</v>
      </c>
      <c r="AA71" s="14"/>
      <c r="AB71" s="14"/>
      <c r="AC71" s="20" t="n">
        <f aca="false">IF(OR(AA71="",AB71="",$G71="",$H71=""),0,IF(AND(AA71=$G71,AB71=$H71),8,IF(SIGN(AA71-AB71)=SIGN($G71-$H71),3,0)))</f>
        <v>0</v>
      </c>
      <c r="AD71" s="14"/>
      <c r="AE71" s="14"/>
      <c r="AF71" s="20" t="n">
        <f aca="false">IF(OR(AD71="",AE71="",$G71="",$H71=""),0,IF(AND(AD71=$G71,AE71=$H71),8,IF(SIGN(AD71-AE71)=SIGN($G71-$H71),3,0)))</f>
        <v>0</v>
      </c>
      <c r="AG71" s="14"/>
      <c r="AH71" s="14"/>
      <c r="AI71" s="20" t="n">
        <f aca="false">IF(OR(AG71="",AH71="",$G71="",$H71=""),0,IF(AND(AG71=$G71,AH71=$H71),8,IF(SIGN(AG71-AH71)=SIGN($G71-$H71),3,0)))</f>
        <v>0</v>
      </c>
    </row>
    <row r="72" customFormat="false" ht="15" hidden="false" customHeight="true" outlineLevel="0" collapsed="false">
      <c r="A72" s="10" t="n">
        <v>69</v>
      </c>
      <c r="B72" s="11" t="n">
        <v>46200</v>
      </c>
      <c r="C72" s="12" t="s">
        <v>45</v>
      </c>
      <c r="D72" s="10" t="s">
        <v>96</v>
      </c>
      <c r="E72" s="13" t="s">
        <v>105</v>
      </c>
      <c r="F72" s="13" t="s">
        <v>97</v>
      </c>
      <c r="G72" s="14"/>
      <c r="H72" s="14"/>
      <c r="I72" s="14"/>
      <c r="J72" s="14"/>
      <c r="K72" s="15" t="n">
        <f aca="false">IF(OR(I72="",J72="",$G72="",$H72=""),0,IF(AND(I72=$G72,J72=$H72),8,IF(SIGN(I72-J72)=SIGN($G72-$H72),3,0)))</f>
        <v>0</v>
      </c>
      <c r="L72" s="14"/>
      <c r="M72" s="14"/>
      <c r="N72" s="15" t="n">
        <f aca="false">IF(OR(L72="",M72="",$G72="",$H72=""),0,IF(AND(L72=$G72,M72=$H72),8,IF(SIGN(L72-M72)=SIGN($G72-$H72),3,0)))</f>
        <v>0</v>
      </c>
      <c r="O72" s="14"/>
      <c r="P72" s="14"/>
      <c r="Q72" s="15" t="n">
        <f aca="false">IF(OR(O72="",P72="",$G72="",$H72=""),0,IF(AND(O72=$G72,P72=$H72),8,IF(SIGN(O72-P72)=SIGN($G72-$H72),3,0)))</f>
        <v>0</v>
      </c>
      <c r="R72" s="14"/>
      <c r="S72" s="14"/>
      <c r="T72" s="15" t="n">
        <f aca="false">IF(OR(R72="",S72="",$G72="",$H72=""),0,IF(AND(R72=$G72,S72=$H72),8,IF(SIGN(R72-S72)=SIGN($G72-$H72),3,0)))</f>
        <v>0</v>
      </c>
      <c r="U72" s="14"/>
      <c r="V72" s="14"/>
      <c r="W72" s="15" t="n">
        <f aca="false">IF(OR(U72="",V72="",$G72="",$H72=""),0,IF(AND(U72=$G72,V72=$H72),8,IF(SIGN(U72-V72)=SIGN($G72-$H72),3,0)))</f>
        <v>0</v>
      </c>
      <c r="X72" s="14" t="n">
        <v>1</v>
      </c>
      <c r="Y72" s="14" t="n">
        <v>3</v>
      </c>
      <c r="Z72" s="15" t="n">
        <f aca="false">IF(OR(X72="",Y72="",$G72="",$H72=""),0,IF(AND(X72=$G72,Y72=$H72),8,IF(SIGN(X72-Y72)=SIGN($G72-$H72),3,0)))</f>
        <v>0</v>
      </c>
      <c r="AA72" s="14"/>
      <c r="AB72" s="14"/>
      <c r="AC72" s="15" t="n">
        <f aca="false">IF(OR(AA72="",AB72="",$G72="",$H72=""),0,IF(AND(AA72=$G72,AB72=$H72),8,IF(SIGN(AA72-AB72)=SIGN($G72-$H72),3,0)))</f>
        <v>0</v>
      </c>
      <c r="AD72" s="14"/>
      <c r="AE72" s="14"/>
      <c r="AF72" s="15" t="n">
        <f aca="false">IF(OR(AD72="",AE72="",$G72="",$H72=""),0,IF(AND(AD72=$G72,AE72=$H72),8,IF(SIGN(AD72-AE72)=SIGN($G72-$H72),3,0)))</f>
        <v>0</v>
      </c>
      <c r="AG72" s="14"/>
      <c r="AH72" s="14"/>
      <c r="AI72" s="15" t="n">
        <f aca="false">IF(OR(AG72="",AH72="",$G72="",$H72=""),0,IF(AND(AG72=$G72,AH72=$H72),8,IF(SIGN(AG72-AH72)=SIGN($G72-$H72),3,0)))</f>
        <v>0</v>
      </c>
    </row>
    <row r="73" customFormat="false" ht="15" hidden="false" customHeight="true" outlineLevel="0" collapsed="false">
      <c r="A73" s="16" t="n">
        <v>70</v>
      </c>
      <c r="B73" s="17" t="n">
        <v>46200</v>
      </c>
      <c r="C73" s="18" t="s">
        <v>45</v>
      </c>
      <c r="D73" s="16" t="s">
        <v>96</v>
      </c>
      <c r="E73" s="19" t="s">
        <v>98</v>
      </c>
      <c r="F73" s="19" t="s">
        <v>104</v>
      </c>
      <c r="G73" s="14"/>
      <c r="H73" s="14"/>
      <c r="I73" s="14"/>
      <c r="J73" s="14"/>
      <c r="K73" s="20" t="n">
        <f aca="false">IF(OR(I73="",J73="",$G73="",$H73=""),0,IF(AND(I73=$G73,J73=$H73),8,IF(SIGN(I73-J73)=SIGN($G73-$H73),3,0)))</f>
        <v>0</v>
      </c>
      <c r="L73" s="14"/>
      <c r="M73" s="14"/>
      <c r="N73" s="20" t="n">
        <f aca="false">IF(OR(L73="",M73="",$G73="",$H73=""),0,IF(AND(L73=$G73,M73=$H73),8,IF(SIGN(L73-M73)=SIGN($G73-$H73),3,0)))</f>
        <v>0</v>
      </c>
      <c r="O73" s="14"/>
      <c r="P73" s="14"/>
      <c r="Q73" s="20" t="n">
        <f aca="false">IF(OR(O73="",P73="",$G73="",$H73=""),0,IF(AND(O73=$G73,P73=$H73),8,IF(SIGN(O73-P73)=SIGN($G73-$H73),3,0)))</f>
        <v>0</v>
      </c>
      <c r="R73" s="14"/>
      <c r="S73" s="14"/>
      <c r="T73" s="20" t="n">
        <f aca="false">IF(OR(R73="",S73="",$G73="",$H73=""),0,IF(AND(R73=$G73,S73=$H73),8,IF(SIGN(R73-S73)=SIGN($G73-$H73),3,0)))</f>
        <v>0</v>
      </c>
      <c r="U73" s="14"/>
      <c r="V73" s="14"/>
      <c r="W73" s="20" t="n">
        <f aca="false">IF(OR(U73="",V73="",$G73="",$H73=""),0,IF(AND(U73=$G73,V73=$H73),8,IF(SIGN(U73-V73)=SIGN($G73-$H73),3,0)))</f>
        <v>0</v>
      </c>
      <c r="X73" s="14" t="n">
        <v>1</v>
      </c>
      <c r="Y73" s="14" t="n">
        <v>1</v>
      </c>
      <c r="Z73" s="20" t="n">
        <f aca="false">IF(OR(X73="",Y73="",$G73="",$H73=""),0,IF(AND(X73=$G73,Y73=$H73),8,IF(SIGN(X73-Y73)=SIGN($G73-$H73),3,0)))</f>
        <v>0</v>
      </c>
      <c r="AA73" s="14"/>
      <c r="AB73" s="14"/>
      <c r="AC73" s="20" t="n">
        <f aca="false">IF(OR(AA73="",AB73="",$G73="",$H73=""),0,IF(AND(AA73=$G73,AB73=$H73),8,IF(SIGN(AA73-AB73)=SIGN($G73-$H73),3,0)))</f>
        <v>0</v>
      </c>
      <c r="AD73" s="14"/>
      <c r="AE73" s="14"/>
      <c r="AF73" s="20" t="n">
        <f aca="false">IF(OR(AD73="",AE73="",$G73="",$H73=""),0,IF(AND(AD73=$G73,AE73=$H73),8,IF(SIGN(AD73-AE73)=SIGN($G73-$H73),3,0)))</f>
        <v>0</v>
      </c>
      <c r="AG73" s="14"/>
      <c r="AH73" s="14"/>
      <c r="AI73" s="20" t="n">
        <f aca="false">IF(OR(AG73="",AH73="",$G73="",$H73=""),0,IF(AND(AG73=$G73,AH73=$H73),8,IF(SIGN(AG73-AH73)=SIGN($G73-$H73),3,0)))</f>
        <v>0</v>
      </c>
    </row>
    <row r="74" customFormat="false" ht="15" hidden="false" customHeight="true" outlineLevel="0" collapsed="false">
      <c r="A74" s="10" t="n">
        <v>71</v>
      </c>
      <c r="B74" s="11" t="n">
        <v>46200</v>
      </c>
      <c r="C74" s="12" t="s">
        <v>45</v>
      </c>
      <c r="D74" s="10" t="s">
        <v>91</v>
      </c>
      <c r="E74" s="13" t="s">
        <v>92</v>
      </c>
      <c r="F74" s="13" t="s">
        <v>95</v>
      </c>
      <c r="G74" s="14"/>
      <c r="H74" s="14"/>
      <c r="I74" s="14"/>
      <c r="J74" s="14"/>
      <c r="K74" s="15" t="n">
        <f aca="false">IF(OR(I74="",J74="",$G74="",$H74=""),0,IF(AND(I74=$G74,J74=$H74),8,IF(SIGN(I74-J74)=SIGN($G74-$H74),3,0)))</f>
        <v>0</v>
      </c>
      <c r="L74" s="14"/>
      <c r="M74" s="14"/>
      <c r="N74" s="15" t="n">
        <f aca="false">IF(OR(L74="",M74="",$G74="",$H74=""),0,IF(AND(L74=$G74,M74=$H74),8,IF(SIGN(L74-M74)=SIGN($G74-$H74),3,0)))</f>
        <v>0</v>
      </c>
      <c r="O74" s="14"/>
      <c r="P74" s="14"/>
      <c r="Q74" s="15" t="n">
        <f aca="false">IF(OR(O74="",P74="",$G74="",$H74=""),0,IF(AND(O74=$G74,P74=$H74),8,IF(SIGN(O74-P74)=SIGN($G74-$H74),3,0)))</f>
        <v>0</v>
      </c>
      <c r="R74" s="14"/>
      <c r="S74" s="14"/>
      <c r="T74" s="15" t="n">
        <f aca="false">IF(OR(R74="",S74="",$G74="",$H74=""),0,IF(AND(R74=$G74,S74=$H74),8,IF(SIGN(R74-S74)=SIGN($G74-$H74),3,0)))</f>
        <v>0</v>
      </c>
      <c r="U74" s="14"/>
      <c r="V74" s="14"/>
      <c r="W74" s="15" t="n">
        <f aca="false">IF(OR(U74="",V74="",$G74="",$H74=""),0,IF(AND(U74=$G74,V74=$H74),8,IF(SIGN(U74-V74)=SIGN($G74-$H74),3,0)))</f>
        <v>0</v>
      </c>
      <c r="X74" s="14" t="n">
        <v>2</v>
      </c>
      <c r="Y74" s="14" t="n">
        <v>0</v>
      </c>
      <c r="Z74" s="15" t="n">
        <f aca="false">IF(OR(X74="",Y74="",$G74="",$H74=""),0,IF(AND(X74=$G74,Y74=$H74),8,IF(SIGN(X74-Y74)=SIGN($G74-$H74),3,0)))</f>
        <v>0</v>
      </c>
      <c r="AA74" s="14"/>
      <c r="AB74" s="14"/>
      <c r="AC74" s="15" t="n">
        <f aca="false">IF(OR(AA74="",AB74="",$G74="",$H74=""),0,IF(AND(AA74=$G74,AB74=$H74),8,IF(SIGN(AA74-AB74)=SIGN($G74-$H74),3,0)))</f>
        <v>0</v>
      </c>
      <c r="AD74" s="14"/>
      <c r="AE74" s="14"/>
      <c r="AF74" s="15" t="n">
        <f aca="false">IF(OR(AD74="",AE74="",$G74="",$H74=""),0,IF(AND(AD74=$G74,AE74=$H74),8,IF(SIGN(AD74-AE74)=SIGN($G74-$H74),3,0)))</f>
        <v>0</v>
      </c>
      <c r="AG74" s="14"/>
      <c r="AH74" s="14"/>
      <c r="AI74" s="15" t="n">
        <f aca="false">IF(OR(AG74="",AH74="",$G74="",$H74=""),0,IF(AND(AG74=$G74,AH74=$H74),8,IF(SIGN(AG74-AH74)=SIGN($G74-$H74),3,0)))</f>
        <v>0</v>
      </c>
    </row>
    <row r="75" customFormat="false" ht="15" hidden="false" customHeight="true" outlineLevel="0" collapsed="false">
      <c r="A75" s="16" t="n">
        <v>72</v>
      </c>
      <c r="B75" s="17" t="n">
        <v>46200</v>
      </c>
      <c r="C75" s="18" t="s">
        <v>45</v>
      </c>
      <c r="D75" s="16" t="s">
        <v>91</v>
      </c>
      <c r="E75" s="19" t="s">
        <v>93</v>
      </c>
      <c r="F75" s="19" t="s">
        <v>94</v>
      </c>
      <c r="G75" s="14"/>
      <c r="H75" s="14"/>
      <c r="I75" s="14"/>
      <c r="J75" s="14"/>
      <c r="K75" s="20" t="n">
        <f aca="false">IF(OR(I75="",J75="",$G75="",$H75=""),0,IF(AND(I75=$G75,J75=$H75),8,IF(SIGN(I75-J75)=SIGN($G75-$H75),3,0)))</f>
        <v>0</v>
      </c>
      <c r="L75" s="14"/>
      <c r="M75" s="14"/>
      <c r="N75" s="20" t="n">
        <f aca="false">IF(OR(L75="",M75="",$G75="",$H75=""),0,IF(AND(L75=$G75,M75=$H75),8,IF(SIGN(L75-M75)=SIGN($G75-$H75),3,0)))</f>
        <v>0</v>
      </c>
      <c r="O75" s="14"/>
      <c r="P75" s="14"/>
      <c r="Q75" s="20" t="n">
        <f aca="false">IF(OR(O75="",P75="",$G75="",$H75=""),0,IF(AND(O75=$G75,P75=$H75),8,IF(SIGN(O75-P75)=SIGN($G75-$H75),3,0)))</f>
        <v>0</v>
      </c>
      <c r="R75" s="14"/>
      <c r="S75" s="14"/>
      <c r="T75" s="20" t="n">
        <f aca="false">IF(OR(R75="",S75="",$G75="",$H75=""),0,IF(AND(R75=$G75,S75=$H75),8,IF(SIGN(R75-S75)=SIGN($G75-$H75),3,0)))</f>
        <v>0</v>
      </c>
      <c r="U75" s="14"/>
      <c r="V75" s="14"/>
      <c r="W75" s="20" t="n">
        <f aca="false">IF(OR(U75="",V75="",$G75="",$H75=""),0,IF(AND(U75=$G75,V75=$H75),8,IF(SIGN(U75-V75)=SIGN($G75-$H75),3,0)))</f>
        <v>0</v>
      </c>
      <c r="X75" s="14" t="n">
        <v>0</v>
      </c>
      <c r="Y75" s="14" t="n">
        <v>1</v>
      </c>
      <c r="Z75" s="20" t="n">
        <f aca="false">IF(OR(X75="",Y75="",$G75="",$H75=""),0,IF(AND(X75=$G75,Y75=$H75),8,IF(SIGN(X75-Y75)=SIGN($G75-$H75),3,0)))</f>
        <v>0</v>
      </c>
      <c r="AA75" s="14"/>
      <c r="AB75" s="14"/>
      <c r="AC75" s="20" t="n">
        <f aca="false">IF(OR(AA75="",AB75="",$G75="",$H75=""),0,IF(AND(AA75=$G75,AB75=$H75),8,IF(SIGN(AA75-AB75)=SIGN($G75-$H75),3,0)))</f>
        <v>0</v>
      </c>
      <c r="AD75" s="14"/>
      <c r="AE75" s="14"/>
      <c r="AF75" s="20" t="n">
        <f aca="false">IF(OR(AD75="",AE75="",$G75="",$H75=""),0,IF(AND(AD75=$G75,AE75=$H75),8,IF(SIGN(AD75-AE75)=SIGN($G75-$H75),3,0)))</f>
        <v>0</v>
      </c>
      <c r="AG75" s="14"/>
      <c r="AH75" s="14"/>
      <c r="AI75" s="20" t="n">
        <f aca="false">IF(OR(AG75="",AH75="",$G75="",$H75=""),0,IF(AND(AG75=$G75,AH75=$H75),8,IF(SIGN(AG75-AH75)=SIGN($G75-$H75),3,0)))</f>
        <v>0</v>
      </c>
    </row>
    <row r="76" customFormat="false" ht="15" hidden="false" customHeight="true" outlineLevel="0" collapsed="false">
      <c r="A76" s="21" t="n">
        <v>73</v>
      </c>
      <c r="B76" s="22" t="n">
        <v>46201</v>
      </c>
      <c r="C76" s="23" t="s">
        <v>106</v>
      </c>
      <c r="D76" s="21"/>
      <c r="E76" s="24" t="s">
        <v>107</v>
      </c>
      <c r="F76" s="24" t="s">
        <v>108</v>
      </c>
      <c r="G76" s="14"/>
      <c r="H76" s="14"/>
      <c r="I76" s="14"/>
      <c r="J76" s="14"/>
      <c r="K76" s="25" t="n">
        <f aca="false">IF(OR(I76="",J76="",$G76="",$H76=""),0,IF(AND(I76=$G76,J76=$H76),8,IF(SIGN(I76-J76)=SIGN($G76-$H76),3,0)))</f>
        <v>0</v>
      </c>
      <c r="L76" s="14"/>
      <c r="M76" s="14"/>
      <c r="N76" s="25" t="n">
        <f aca="false">IF(OR(L76="",M76="",$G76="",$H76=""),0,IF(AND(L76=$G76,M76=$H76),8,IF(SIGN(L76-M76)=SIGN($G76-$H76),3,0)))</f>
        <v>0</v>
      </c>
      <c r="O76" s="14"/>
      <c r="P76" s="14"/>
      <c r="Q76" s="25" t="n">
        <f aca="false">IF(OR(O76="",P76="",$G76="",$H76=""),0,IF(AND(O76=$G76,P76=$H76),8,IF(SIGN(O76-P76)=SIGN($G76-$H76),3,0)))</f>
        <v>0</v>
      </c>
      <c r="R76" s="14"/>
      <c r="S76" s="14"/>
      <c r="T76" s="25" t="n">
        <f aca="false">IF(OR(R76="",S76="",$G76="",$H76=""),0,IF(AND(R76=$G76,S76=$H76),8,IF(SIGN(R76-S76)=SIGN($G76-$H76),3,0)))</f>
        <v>0</v>
      </c>
      <c r="U76" s="14"/>
      <c r="V76" s="14"/>
      <c r="W76" s="25" t="n">
        <f aca="false">IF(OR(U76="",V76="",$G76="",$H76=""),0,IF(AND(U76=$G76,V76=$H76),8,IF(SIGN(U76-V76)=SIGN($G76-$H76),3,0)))</f>
        <v>0</v>
      </c>
      <c r="X76" s="14"/>
      <c r="Y76" s="14"/>
      <c r="Z76" s="25" t="n">
        <f aca="false">IF(OR(X76="",Y76="",$G76="",$H76=""),0,IF(AND(X76=$G76,Y76=$H76),8,IF(SIGN(X76-Y76)=SIGN($G76-$H76),3,0)))</f>
        <v>0</v>
      </c>
      <c r="AA76" s="14"/>
      <c r="AB76" s="14"/>
      <c r="AC76" s="25" t="n">
        <f aca="false">IF(OR(AA76="",AB76="",$G76="",$H76=""),0,IF(AND(AA76=$G76,AB76=$H76),8,IF(SIGN(AA76-AB76)=SIGN($G76-$H76),3,0)))</f>
        <v>0</v>
      </c>
      <c r="AD76" s="14"/>
      <c r="AE76" s="14"/>
      <c r="AF76" s="25" t="n">
        <f aca="false">IF(OR(AD76="",AE76="",$G76="",$H76=""),0,IF(AND(AD76=$G76,AE76=$H76),8,IF(SIGN(AD76-AE76)=SIGN($G76-$H76),3,0)))</f>
        <v>0</v>
      </c>
      <c r="AG76" s="14"/>
      <c r="AH76" s="14"/>
      <c r="AI76" s="25" t="n">
        <f aca="false">IF(OR(AG76="",AH76="",$G76="",$H76=""),0,IF(AND(AG76=$G76,AH76=$H76),8,IF(SIGN(AG76-AH76)=SIGN($G76-$H76),3,0)))</f>
        <v>0</v>
      </c>
    </row>
    <row r="77" customFormat="false" ht="15" hidden="false" customHeight="true" outlineLevel="0" collapsed="false">
      <c r="A77" s="21" t="n">
        <v>74</v>
      </c>
      <c r="B77" s="22" t="n">
        <v>46202</v>
      </c>
      <c r="C77" s="23" t="s">
        <v>106</v>
      </c>
      <c r="D77" s="21"/>
      <c r="E77" s="24" t="s">
        <v>109</v>
      </c>
      <c r="F77" s="24" t="s">
        <v>110</v>
      </c>
      <c r="G77" s="14" t="n">
        <v>1</v>
      </c>
      <c r="H77" s="14" t="n">
        <v>1</v>
      </c>
      <c r="I77" s="14"/>
      <c r="J77" s="14"/>
      <c r="K77" s="25" t="n">
        <f aca="false">IF(OR(I77="",J77="",$G77="",$H77=""),0,IF(AND(I77=$G77,J77=$H77),8,IF(SIGN(I77-J77)=SIGN($G77-$H77),3,0)))</f>
        <v>0</v>
      </c>
      <c r="L77" s="14"/>
      <c r="M77" s="14"/>
      <c r="N77" s="25" t="n">
        <f aca="false">IF(OR(L77="",M77="",$G77="",$H77=""),0,IF(AND(L77=$G77,M77=$H77),8,IF(SIGN(L77-M77)=SIGN($G77-$H77),3,0)))</f>
        <v>0</v>
      </c>
      <c r="O77" s="14"/>
      <c r="P77" s="14"/>
      <c r="Q77" s="25" t="n">
        <f aca="false">IF(OR(O77="",P77="",$G77="",$H77=""),0,IF(AND(O77=$G77,P77=$H77),8,IF(SIGN(O77-P77)=SIGN($G77-$H77),3,0)))</f>
        <v>0</v>
      </c>
      <c r="R77" s="14"/>
      <c r="S77" s="14"/>
      <c r="T77" s="25" t="n">
        <f aca="false">IF(OR(R77="",S77="",$G77="",$H77=""),0,IF(AND(R77=$G77,S77=$H77),8,IF(SIGN(R77-S77)=SIGN($G77-$H77),3,0)))</f>
        <v>0</v>
      </c>
      <c r="U77" s="14"/>
      <c r="V77" s="14"/>
      <c r="W77" s="25" t="n">
        <f aca="false">IF(OR(U77="",V77="",$G77="",$H77=""),0,IF(AND(U77=$G77,V77=$H77),8,IF(SIGN(U77-V77)=SIGN($G77-$H77),3,0)))</f>
        <v>0</v>
      </c>
      <c r="X77" s="14"/>
      <c r="Y77" s="14"/>
      <c r="Z77" s="25" t="n">
        <f aca="false">IF(OR(X77="",Y77="",$G77="",$H77=""),0,IF(AND(X77=$G77,Y77=$H77),8,IF(SIGN(X77-Y77)=SIGN($G77-$H77),3,0)))</f>
        <v>0</v>
      </c>
      <c r="AA77" s="14"/>
      <c r="AB77" s="14"/>
      <c r="AC77" s="25" t="n">
        <f aca="false">IF(OR(AA77="",AB77="",$G77="",$H77=""),0,IF(AND(AA77=$G77,AB77=$H77),8,IF(SIGN(AA77-AB77)=SIGN($G77-$H77),3,0)))</f>
        <v>0</v>
      </c>
      <c r="AD77" s="14"/>
      <c r="AE77" s="14"/>
      <c r="AF77" s="25" t="n">
        <f aca="false">IF(OR(AD77="",AE77="",$G77="",$H77=""),0,IF(AND(AD77=$G77,AE77=$H77),8,IF(SIGN(AD77-AE77)=SIGN($G77-$H77),3,0)))</f>
        <v>0</v>
      </c>
      <c r="AG77" s="14"/>
      <c r="AH77" s="14"/>
      <c r="AI77" s="25" t="n">
        <f aca="false">IF(OR(AG77="",AH77="",$G77="",$H77=""),0,IF(AND(AG77=$G77,AH77=$H77),8,IF(SIGN(AG77-AH77)=SIGN($G77-$H77),3,0)))</f>
        <v>0</v>
      </c>
      <c r="AJ77" s="0" t="s">
        <v>46</v>
      </c>
    </row>
    <row r="78" customFormat="false" ht="15" hidden="false" customHeight="true" outlineLevel="0" collapsed="false">
      <c r="A78" s="21" t="n">
        <v>75</v>
      </c>
      <c r="B78" s="22" t="n">
        <v>46202</v>
      </c>
      <c r="C78" s="23" t="s">
        <v>106</v>
      </c>
      <c r="D78" s="21"/>
      <c r="E78" s="24" t="s">
        <v>111</v>
      </c>
      <c r="F78" s="24" t="s">
        <v>112</v>
      </c>
      <c r="G78" s="14" t="n">
        <v>1</v>
      </c>
      <c r="H78" s="14" t="n">
        <v>1</v>
      </c>
      <c r="I78" s="14"/>
      <c r="J78" s="14"/>
      <c r="K78" s="25" t="n">
        <f aca="false">IF(OR(I78="",J78="",$G78="",$H78=""),0,IF(AND(I78=$G78,J78=$H78),8,IF(SIGN(I78-J78)=SIGN($G78-$H78),3,0)))</f>
        <v>0</v>
      </c>
      <c r="L78" s="14"/>
      <c r="M78" s="14"/>
      <c r="N78" s="25" t="n">
        <f aca="false">IF(OR(L78="",M78="",$G78="",$H78=""),0,IF(AND(L78=$G78,M78=$H78),8,IF(SIGN(L78-M78)=SIGN($G78-$H78),3,0)))</f>
        <v>0</v>
      </c>
      <c r="O78" s="14"/>
      <c r="P78" s="14"/>
      <c r="Q78" s="25" t="n">
        <f aca="false">IF(OR(O78="",P78="",$G78="",$H78=""),0,IF(AND(O78=$G78,P78=$H78),8,IF(SIGN(O78-P78)=SIGN($G78-$H78),3,0)))</f>
        <v>0</v>
      </c>
      <c r="R78" s="14"/>
      <c r="S78" s="14"/>
      <c r="T78" s="25" t="n">
        <f aca="false">IF(OR(R78="",S78="",$G78="",$H78=""),0,IF(AND(R78=$G78,S78=$H78),8,IF(SIGN(R78-S78)=SIGN($G78-$H78),3,0)))</f>
        <v>0</v>
      </c>
      <c r="U78" s="14"/>
      <c r="V78" s="14"/>
      <c r="W78" s="25" t="n">
        <f aca="false">IF(OR(U78="",V78="",$G78="",$H78=""),0,IF(AND(U78=$G78,V78=$H78),8,IF(SIGN(U78-V78)=SIGN($G78-$H78),3,0)))</f>
        <v>0</v>
      </c>
      <c r="X78" s="14"/>
      <c r="Y78" s="14"/>
      <c r="Z78" s="25" t="n">
        <f aca="false">IF(OR(X78="",Y78="",$G78="",$H78=""),0,IF(AND(X78=$G78,Y78=$H78),8,IF(SIGN(X78-Y78)=SIGN($G78-$H78),3,0)))</f>
        <v>0</v>
      </c>
      <c r="AA78" s="14"/>
      <c r="AB78" s="14"/>
      <c r="AC78" s="25" t="n">
        <f aca="false">IF(OR(AA78="",AB78="",$G78="",$H78=""),0,IF(AND(AA78=$G78,AB78=$H78),8,IF(SIGN(AA78-AB78)=SIGN($G78-$H78),3,0)))</f>
        <v>0</v>
      </c>
      <c r="AD78" s="14"/>
      <c r="AE78" s="14"/>
      <c r="AF78" s="25" t="n">
        <f aca="false">IF(OR(AD78="",AE78="",$G78="",$H78=""),0,IF(AND(AD78=$G78,AE78=$H78),8,IF(SIGN(AD78-AE78)=SIGN($G78-$H78),3,0)))</f>
        <v>0</v>
      </c>
      <c r="AG78" s="14"/>
      <c r="AH78" s="14"/>
      <c r="AI78" s="25" t="n">
        <f aca="false">IF(OR(AG78="",AH78="",$G78="",$H78=""),0,IF(AND(AG78=$G78,AH78=$H78),8,IF(SIGN(AG78-AH78)=SIGN($G78-$H78),3,0)))</f>
        <v>0</v>
      </c>
      <c r="AJ78" s="0" t="s">
        <v>46</v>
      </c>
    </row>
    <row r="79" customFormat="false" ht="15" hidden="false" customHeight="true" outlineLevel="0" collapsed="false">
      <c r="A79" s="21" t="n">
        <v>76</v>
      </c>
      <c r="B79" s="22" t="n">
        <v>46202</v>
      </c>
      <c r="C79" s="23" t="s">
        <v>106</v>
      </c>
      <c r="D79" s="21"/>
      <c r="E79" s="24" t="s">
        <v>113</v>
      </c>
      <c r="F79" s="24" t="s">
        <v>114</v>
      </c>
      <c r="G79" s="14" t="n">
        <v>2</v>
      </c>
      <c r="H79" s="14" t="n">
        <v>1</v>
      </c>
      <c r="I79" s="14"/>
      <c r="J79" s="14"/>
      <c r="K79" s="25" t="n">
        <f aca="false">IF(OR(I79="",J79="",$G79="",$H79=""),0,IF(AND(I79=$G79,J79=$H79),8,IF(SIGN(I79-J79)=SIGN($G79-$H79),3,0)))</f>
        <v>0</v>
      </c>
      <c r="L79" s="14"/>
      <c r="M79" s="14"/>
      <c r="N79" s="25" t="n">
        <f aca="false">IF(OR(L79="",M79="",$G79="",$H79=""),0,IF(AND(L79=$G79,M79=$H79),8,IF(SIGN(L79-M79)=SIGN($G79-$H79),3,0)))</f>
        <v>0</v>
      </c>
      <c r="O79" s="14"/>
      <c r="P79" s="14"/>
      <c r="Q79" s="25" t="n">
        <f aca="false">IF(OR(O79="",P79="",$G79="",$H79=""),0,IF(AND(O79=$G79,P79=$H79),8,IF(SIGN(O79-P79)=SIGN($G79-$H79),3,0)))</f>
        <v>0</v>
      </c>
      <c r="R79" s="14"/>
      <c r="S79" s="14"/>
      <c r="T79" s="25" t="n">
        <f aca="false">IF(OR(R79="",S79="",$G79="",$H79=""),0,IF(AND(R79=$G79,S79=$H79),8,IF(SIGN(R79-S79)=SIGN($G79-$H79),3,0)))</f>
        <v>0</v>
      </c>
      <c r="U79" s="14"/>
      <c r="V79" s="14"/>
      <c r="W79" s="25" t="n">
        <f aca="false">IF(OR(U79="",V79="",$G79="",$H79=""),0,IF(AND(U79=$G79,V79=$H79),8,IF(SIGN(U79-V79)=SIGN($G79-$H79),3,0)))</f>
        <v>0</v>
      </c>
      <c r="X79" s="14"/>
      <c r="Y79" s="14"/>
      <c r="Z79" s="25" t="n">
        <f aca="false">IF(OR(X79="",Y79="",$G79="",$H79=""),0,IF(AND(X79=$G79,Y79=$H79),8,IF(SIGN(X79-Y79)=SIGN($G79-$H79),3,0)))</f>
        <v>0</v>
      </c>
      <c r="AA79" s="14"/>
      <c r="AB79" s="14"/>
      <c r="AC79" s="25" t="n">
        <f aca="false">IF(OR(AA79="",AB79="",$G79="",$H79=""),0,IF(AND(AA79=$G79,AB79=$H79),8,IF(SIGN(AA79-AB79)=SIGN($G79-$H79),3,0)))</f>
        <v>0</v>
      </c>
      <c r="AD79" s="14"/>
      <c r="AE79" s="14"/>
      <c r="AF79" s="25" t="n">
        <f aca="false">IF(OR(AD79="",AE79="",$G79="",$H79=""),0,IF(AND(AD79=$G79,AE79=$H79),8,IF(SIGN(AD79-AE79)=SIGN($G79-$H79),3,0)))</f>
        <v>0</v>
      </c>
      <c r="AG79" s="14"/>
      <c r="AH79" s="14"/>
      <c r="AI79" s="25" t="n">
        <f aca="false">IF(OR(AG79="",AH79="",$G79="",$H79=""),0,IF(AND(AG79=$G79,AH79=$H79),8,IF(SIGN(AG79-AH79)=SIGN($G79-$H79),3,0)))</f>
        <v>0</v>
      </c>
    </row>
    <row r="80" customFormat="false" ht="15" hidden="false" customHeight="true" outlineLevel="0" collapsed="false">
      <c r="A80" s="21" t="n">
        <v>77</v>
      </c>
      <c r="B80" s="22" t="n">
        <v>46203</v>
      </c>
      <c r="C80" s="23" t="s">
        <v>106</v>
      </c>
      <c r="D80" s="21"/>
      <c r="E80" s="24" t="s">
        <v>115</v>
      </c>
      <c r="F80" s="24" t="s">
        <v>116</v>
      </c>
      <c r="G80" s="14"/>
      <c r="H80" s="14"/>
      <c r="I80" s="14"/>
      <c r="J80" s="14"/>
      <c r="K80" s="25" t="n">
        <f aca="false">IF(OR(I80="",J80="",$G80="",$H80=""),0,IF(AND(I80=$G80,J80=$H80),8,IF(SIGN(I80-J80)=SIGN($G80-$H80),3,0)))</f>
        <v>0</v>
      </c>
      <c r="L80" s="14"/>
      <c r="M80" s="14"/>
      <c r="N80" s="25" t="n">
        <f aca="false">IF(OR(L80="",M80="",$G80="",$H80=""),0,IF(AND(L80=$G80,M80=$H80),8,IF(SIGN(L80-M80)=SIGN($G80-$H80),3,0)))</f>
        <v>0</v>
      </c>
      <c r="O80" s="14"/>
      <c r="P80" s="14"/>
      <c r="Q80" s="25" t="n">
        <f aca="false">IF(OR(O80="",P80="",$G80="",$H80=""),0,IF(AND(O80=$G80,P80=$H80),8,IF(SIGN(O80-P80)=SIGN($G80-$H80),3,0)))</f>
        <v>0</v>
      </c>
      <c r="R80" s="14"/>
      <c r="S80" s="14"/>
      <c r="T80" s="25" t="n">
        <f aca="false">IF(OR(R80="",S80="",$G80="",$H80=""),0,IF(AND(R80=$G80,S80=$H80),8,IF(SIGN(R80-S80)=SIGN($G80-$H80),3,0)))</f>
        <v>0</v>
      </c>
      <c r="U80" s="14"/>
      <c r="V80" s="14"/>
      <c r="W80" s="25" t="n">
        <f aca="false">IF(OR(U80="",V80="",$G80="",$H80=""),0,IF(AND(U80=$G80,V80=$H80),8,IF(SIGN(U80-V80)=SIGN($G80-$H80),3,0)))</f>
        <v>0</v>
      </c>
      <c r="X80" s="14"/>
      <c r="Y80" s="14"/>
      <c r="Z80" s="25" t="n">
        <f aca="false">IF(OR(X80="",Y80="",$G80="",$H80=""),0,IF(AND(X80=$G80,Y80=$H80),8,IF(SIGN(X80-Y80)=SIGN($G80-$H80),3,0)))</f>
        <v>0</v>
      </c>
      <c r="AA80" s="14"/>
      <c r="AB80" s="14"/>
      <c r="AC80" s="25" t="n">
        <f aca="false">IF(OR(AA80="",AB80="",$G80="",$H80=""),0,IF(AND(AA80=$G80,AB80=$H80),8,IF(SIGN(AA80-AB80)=SIGN($G80-$H80),3,0)))</f>
        <v>0</v>
      </c>
      <c r="AD80" s="14"/>
      <c r="AE80" s="14"/>
      <c r="AF80" s="25" t="n">
        <f aca="false">IF(OR(AD80="",AE80="",$G80="",$H80=""),0,IF(AND(AD80=$G80,AE80=$H80),8,IF(SIGN(AD80-AE80)=SIGN($G80-$H80),3,0)))</f>
        <v>0</v>
      </c>
      <c r="AG80" s="14"/>
      <c r="AH80" s="14"/>
      <c r="AI80" s="25" t="n">
        <f aca="false">IF(OR(AG80="",AH80="",$G80="",$H80=""),0,IF(AND(AG80=$G80,AH80=$H80),8,IF(SIGN(AG80-AH80)=SIGN($G80-$H80),3,0)))</f>
        <v>0</v>
      </c>
    </row>
    <row r="81" customFormat="false" ht="15" hidden="false" customHeight="true" outlineLevel="0" collapsed="false">
      <c r="A81" s="21" t="n">
        <v>78</v>
      </c>
      <c r="B81" s="22" t="n">
        <v>46203</v>
      </c>
      <c r="C81" s="23" t="s">
        <v>106</v>
      </c>
      <c r="D81" s="21"/>
      <c r="E81" s="24" t="s">
        <v>117</v>
      </c>
      <c r="F81" s="24" t="s">
        <v>118</v>
      </c>
      <c r="G81" s="14"/>
      <c r="H81" s="14"/>
      <c r="I81" s="14"/>
      <c r="J81" s="14"/>
      <c r="K81" s="25" t="n">
        <f aca="false">IF(OR(I81="",J81="",$G81="",$H81=""),0,IF(AND(I81=$G81,J81=$H81),8,IF(SIGN(I81-J81)=SIGN($G81-$H81),3,0)))</f>
        <v>0</v>
      </c>
      <c r="L81" s="14"/>
      <c r="M81" s="14"/>
      <c r="N81" s="25" t="n">
        <f aca="false">IF(OR(L81="",M81="",$G81="",$H81=""),0,IF(AND(L81=$G81,M81=$H81),8,IF(SIGN(L81-M81)=SIGN($G81-$H81),3,0)))</f>
        <v>0</v>
      </c>
      <c r="O81" s="14"/>
      <c r="P81" s="14"/>
      <c r="Q81" s="25" t="n">
        <f aca="false">IF(OR(O81="",P81="",$G81="",$H81=""),0,IF(AND(O81=$G81,P81=$H81),8,IF(SIGN(O81-P81)=SIGN($G81-$H81),3,0)))</f>
        <v>0</v>
      </c>
      <c r="R81" s="14"/>
      <c r="S81" s="14"/>
      <c r="T81" s="25" t="n">
        <f aca="false">IF(OR(R81="",S81="",$G81="",$H81=""),0,IF(AND(R81=$G81,S81=$H81),8,IF(SIGN(R81-S81)=SIGN($G81-$H81),3,0)))</f>
        <v>0</v>
      </c>
      <c r="U81" s="14"/>
      <c r="V81" s="14"/>
      <c r="W81" s="25" t="n">
        <f aca="false">IF(OR(U81="",V81="",$G81="",$H81=""),0,IF(AND(U81=$G81,V81=$H81),8,IF(SIGN(U81-V81)=SIGN($G81-$H81),3,0)))</f>
        <v>0</v>
      </c>
      <c r="X81" s="14"/>
      <c r="Y81" s="14"/>
      <c r="Z81" s="25" t="n">
        <f aca="false">IF(OR(X81="",Y81="",$G81="",$H81=""),0,IF(AND(X81=$G81,Y81=$H81),8,IF(SIGN(X81-Y81)=SIGN($G81-$H81),3,0)))</f>
        <v>0</v>
      </c>
      <c r="AA81" s="14"/>
      <c r="AB81" s="14"/>
      <c r="AC81" s="25" t="n">
        <f aca="false">IF(OR(AA81="",AB81="",$G81="",$H81=""),0,IF(AND(AA81=$G81,AB81=$H81),8,IF(SIGN(AA81-AB81)=SIGN($G81-$H81),3,0)))</f>
        <v>0</v>
      </c>
      <c r="AD81" s="14"/>
      <c r="AE81" s="14"/>
      <c r="AF81" s="25" t="n">
        <f aca="false">IF(OR(AD81="",AE81="",$G81="",$H81=""),0,IF(AND(AD81=$G81,AE81=$H81),8,IF(SIGN(AD81-AE81)=SIGN($G81-$H81),3,0)))</f>
        <v>0</v>
      </c>
      <c r="AG81" s="14"/>
      <c r="AH81" s="14"/>
      <c r="AI81" s="25" t="n">
        <f aca="false">IF(OR(AG81="",AH81="",$G81="",$H81=""),0,IF(AND(AG81=$G81,AH81=$H81),8,IF(SIGN(AG81-AH81)=SIGN($G81-$H81),3,0)))</f>
        <v>0</v>
      </c>
    </row>
    <row r="82" customFormat="false" ht="15" hidden="false" customHeight="true" outlineLevel="0" collapsed="false">
      <c r="A82" s="21" t="n">
        <v>79</v>
      </c>
      <c r="B82" s="22" t="n">
        <v>46203</v>
      </c>
      <c r="C82" s="23" t="s">
        <v>106</v>
      </c>
      <c r="D82" s="21"/>
      <c r="E82" s="24" t="s">
        <v>119</v>
      </c>
      <c r="F82" s="24" t="s">
        <v>120</v>
      </c>
      <c r="G82" s="14"/>
      <c r="H82" s="14"/>
      <c r="I82" s="14"/>
      <c r="J82" s="14"/>
      <c r="K82" s="25" t="n">
        <f aca="false">IF(OR(I82="",J82="",$G82="",$H82=""),0,IF(AND(I82=$G82,J82=$H82),8,IF(SIGN(I82-J82)=SIGN($G82-$H82),3,0)))</f>
        <v>0</v>
      </c>
      <c r="L82" s="14"/>
      <c r="M82" s="14"/>
      <c r="N82" s="25" t="n">
        <f aca="false">IF(OR(L82="",M82="",$G82="",$H82=""),0,IF(AND(L82=$G82,M82=$H82),8,IF(SIGN(L82-M82)=SIGN($G82-$H82),3,0)))</f>
        <v>0</v>
      </c>
      <c r="O82" s="14"/>
      <c r="P82" s="14"/>
      <c r="Q82" s="25" t="n">
        <f aca="false">IF(OR(O82="",P82="",$G82="",$H82=""),0,IF(AND(O82=$G82,P82=$H82),8,IF(SIGN(O82-P82)=SIGN($G82-$H82),3,0)))</f>
        <v>0</v>
      </c>
      <c r="R82" s="14"/>
      <c r="S82" s="14"/>
      <c r="T82" s="25" t="n">
        <f aca="false">IF(OR(R82="",S82="",$G82="",$H82=""),0,IF(AND(R82=$G82,S82=$H82),8,IF(SIGN(R82-S82)=SIGN($G82-$H82),3,0)))</f>
        <v>0</v>
      </c>
      <c r="U82" s="14"/>
      <c r="V82" s="14"/>
      <c r="W82" s="25" t="n">
        <f aca="false">IF(OR(U82="",V82="",$G82="",$H82=""),0,IF(AND(U82=$G82,V82=$H82),8,IF(SIGN(U82-V82)=SIGN($G82-$H82),3,0)))</f>
        <v>0</v>
      </c>
      <c r="X82" s="14"/>
      <c r="Y82" s="14"/>
      <c r="Z82" s="25" t="n">
        <f aca="false">IF(OR(X82="",Y82="",$G82="",$H82=""),0,IF(AND(X82=$G82,Y82=$H82),8,IF(SIGN(X82-Y82)=SIGN($G82-$H82),3,0)))</f>
        <v>0</v>
      </c>
      <c r="AA82" s="14"/>
      <c r="AB82" s="14"/>
      <c r="AC82" s="25" t="n">
        <f aca="false">IF(OR(AA82="",AB82="",$G82="",$H82=""),0,IF(AND(AA82=$G82,AB82=$H82),8,IF(SIGN(AA82-AB82)=SIGN($G82-$H82),3,0)))</f>
        <v>0</v>
      </c>
      <c r="AD82" s="14"/>
      <c r="AE82" s="14"/>
      <c r="AF82" s="25" t="n">
        <f aca="false">IF(OR(AD82="",AE82="",$G82="",$H82=""),0,IF(AND(AD82=$G82,AE82=$H82),8,IF(SIGN(AD82-AE82)=SIGN($G82-$H82),3,0)))</f>
        <v>0</v>
      </c>
      <c r="AG82" s="14"/>
      <c r="AH82" s="14"/>
      <c r="AI82" s="25" t="n">
        <f aca="false">IF(OR(AG82="",AH82="",$G82="",$H82=""),0,IF(AND(AG82=$G82,AH82=$H82),8,IF(SIGN(AG82-AH82)=SIGN($G82-$H82),3,0)))</f>
        <v>0</v>
      </c>
    </row>
    <row r="83" customFormat="false" ht="15" hidden="false" customHeight="true" outlineLevel="0" collapsed="false">
      <c r="A83" s="21" t="n">
        <v>80</v>
      </c>
      <c r="B83" s="22" t="n">
        <v>46204</v>
      </c>
      <c r="C83" s="23" t="s">
        <v>106</v>
      </c>
      <c r="D83" s="21"/>
      <c r="E83" s="24" t="s">
        <v>121</v>
      </c>
      <c r="F83" s="24" t="s">
        <v>122</v>
      </c>
      <c r="G83" s="14"/>
      <c r="H83" s="14"/>
      <c r="I83" s="14"/>
      <c r="J83" s="14"/>
      <c r="K83" s="25" t="n">
        <f aca="false">IF(OR(I83="",J83="",$G83="",$H83=""),0,IF(AND(I83=$G83,J83=$H83),8,IF(SIGN(I83-J83)=SIGN($G83-$H83),3,0)))</f>
        <v>0</v>
      </c>
      <c r="L83" s="14"/>
      <c r="M83" s="14"/>
      <c r="N83" s="25" t="n">
        <f aca="false">IF(OR(L83="",M83="",$G83="",$H83=""),0,IF(AND(L83=$G83,M83=$H83),8,IF(SIGN(L83-M83)=SIGN($G83-$H83),3,0)))</f>
        <v>0</v>
      </c>
      <c r="O83" s="14"/>
      <c r="P83" s="14"/>
      <c r="Q83" s="25" t="n">
        <f aca="false">IF(OR(O83="",P83="",$G83="",$H83=""),0,IF(AND(O83=$G83,P83=$H83),8,IF(SIGN(O83-P83)=SIGN($G83-$H83),3,0)))</f>
        <v>0</v>
      </c>
      <c r="R83" s="14"/>
      <c r="S83" s="14"/>
      <c r="T83" s="25" t="n">
        <f aca="false">IF(OR(R83="",S83="",$G83="",$H83=""),0,IF(AND(R83=$G83,S83=$H83),8,IF(SIGN(R83-S83)=SIGN($G83-$H83),3,0)))</f>
        <v>0</v>
      </c>
      <c r="U83" s="14"/>
      <c r="V83" s="14"/>
      <c r="W83" s="25" t="n">
        <f aca="false">IF(OR(U83="",V83="",$G83="",$H83=""),0,IF(AND(U83=$G83,V83=$H83),8,IF(SIGN(U83-V83)=SIGN($G83-$H83),3,0)))</f>
        <v>0</v>
      </c>
      <c r="X83" s="14"/>
      <c r="Y83" s="14"/>
      <c r="Z83" s="25" t="n">
        <f aca="false">IF(OR(X83="",Y83="",$G83="",$H83=""),0,IF(AND(X83=$G83,Y83=$H83),8,IF(SIGN(X83-Y83)=SIGN($G83-$H83),3,0)))</f>
        <v>0</v>
      </c>
      <c r="AA83" s="14"/>
      <c r="AB83" s="14"/>
      <c r="AC83" s="25" t="n">
        <f aca="false">IF(OR(AA83="",AB83="",$G83="",$H83=""),0,IF(AND(AA83=$G83,AB83=$H83),8,IF(SIGN(AA83-AB83)=SIGN($G83-$H83),3,0)))</f>
        <v>0</v>
      </c>
      <c r="AD83" s="14"/>
      <c r="AE83" s="14"/>
      <c r="AF83" s="25" t="n">
        <f aca="false">IF(OR(AD83="",AE83="",$G83="",$H83=""),0,IF(AND(AD83=$G83,AE83=$H83),8,IF(SIGN(AD83-AE83)=SIGN($G83-$H83),3,0)))</f>
        <v>0</v>
      </c>
      <c r="AG83" s="14"/>
      <c r="AH83" s="14"/>
      <c r="AI83" s="25" t="n">
        <f aca="false">IF(OR(AG83="",AH83="",$G83="",$H83=""),0,IF(AND(AG83=$G83,AH83=$H83),8,IF(SIGN(AG83-AH83)=SIGN($G83-$H83),3,0)))</f>
        <v>0</v>
      </c>
    </row>
    <row r="84" customFormat="false" ht="15" hidden="false" customHeight="true" outlineLevel="0" collapsed="false">
      <c r="A84" s="21" t="n">
        <v>81</v>
      </c>
      <c r="B84" s="22" t="n">
        <v>46204</v>
      </c>
      <c r="C84" s="23" t="s">
        <v>106</v>
      </c>
      <c r="D84" s="21"/>
      <c r="E84" s="24" t="s">
        <v>123</v>
      </c>
      <c r="F84" s="24" t="s">
        <v>124</v>
      </c>
      <c r="G84" s="14"/>
      <c r="H84" s="14"/>
      <c r="I84" s="14"/>
      <c r="J84" s="14"/>
      <c r="K84" s="25" t="n">
        <f aca="false">IF(OR(I84="",J84="",$G84="",$H84=""),0,IF(AND(I84=$G84,J84=$H84),8,IF(SIGN(I84-J84)=SIGN($G84-$H84),3,0)))</f>
        <v>0</v>
      </c>
      <c r="L84" s="14"/>
      <c r="M84" s="14"/>
      <c r="N84" s="25" t="n">
        <f aca="false">IF(OR(L84="",M84="",$G84="",$H84=""),0,IF(AND(L84=$G84,M84=$H84),8,IF(SIGN(L84-M84)=SIGN($G84-$H84),3,0)))</f>
        <v>0</v>
      </c>
      <c r="O84" s="14"/>
      <c r="P84" s="14"/>
      <c r="Q84" s="25" t="n">
        <f aca="false">IF(OR(O84="",P84="",$G84="",$H84=""),0,IF(AND(O84=$G84,P84=$H84),8,IF(SIGN(O84-P84)=SIGN($G84-$H84),3,0)))</f>
        <v>0</v>
      </c>
      <c r="R84" s="14"/>
      <c r="S84" s="14"/>
      <c r="T84" s="25" t="n">
        <f aca="false">IF(OR(R84="",S84="",$G84="",$H84=""),0,IF(AND(R84=$G84,S84=$H84),8,IF(SIGN(R84-S84)=SIGN($G84-$H84),3,0)))</f>
        <v>0</v>
      </c>
      <c r="U84" s="14"/>
      <c r="V84" s="14"/>
      <c r="W84" s="25" t="n">
        <f aca="false">IF(OR(U84="",V84="",$G84="",$H84=""),0,IF(AND(U84=$G84,V84=$H84),8,IF(SIGN(U84-V84)=SIGN($G84-$H84),3,0)))</f>
        <v>0</v>
      </c>
      <c r="X84" s="14"/>
      <c r="Y84" s="14"/>
      <c r="Z84" s="25" t="n">
        <f aca="false">IF(OR(X84="",Y84="",$G84="",$H84=""),0,IF(AND(X84=$G84,Y84=$H84),8,IF(SIGN(X84-Y84)=SIGN($G84-$H84),3,0)))</f>
        <v>0</v>
      </c>
      <c r="AA84" s="14"/>
      <c r="AB84" s="14"/>
      <c r="AC84" s="25" t="n">
        <f aca="false">IF(OR(AA84="",AB84="",$G84="",$H84=""),0,IF(AND(AA84=$G84,AB84=$H84),8,IF(SIGN(AA84-AB84)=SIGN($G84-$H84),3,0)))</f>
        <v>0</v>
      </c>
      <c r="AD84" s="14"/>
      <c r="AE84" s="14"/>
      <c r="AF84" s="25" t="n">
        <f aca="false">IF(OR(AD84="",AE84="",$G84="",$H84=""),0,IF(AND(AD84=$G84,AE84=$H84),8,IF(SIGN(AD84-AE84)=SIGN($G84-$H84),3,0)))</f>
        <v>0</v>
      </c>
      <c r="AG84" s="14"/>
      <c r="AH84" s="14"/>
      <c r="AI84" s="25" t="n">
        <f aca="false">IF(OR(AG84="",AH84="",$G84="",$H84=""),0,IF(AND(AG84=$G84,AH84=$H84),8,IF(SIGN(AG84-AH84)=SIGN($G84-$H84),3,0)))</f>
        <v>0</v>
      </c>
    </row>
    <row r="85" customFormat="false" ht="15" hidden="false" customHeight="true" outlineLevel="0" collapsed="false">
      <c r="A85" s="21" t="n">
        <v>82</v>
      </c>
      <c r="B85" s="22" t="n">
        <v>46204</v>
      </c>
      <c r="C85" s="23" t="s">
        <v>106</v>
      </c>
      <c r="D85" s="21"/>
      <c r="E85" s="24" t="s">
        <v>125</v>
      </c>
      <c r="F85" s="24" t="s">
        <v>126</v>
      </c>
      <c r="G85" s="14"/>
      <c r="H85" s="14"/>
      <c r="I85" s="14"/>
      <c r="J85" s="14"/>
      <c r="K85" s="25" t="n">
        <f aca="false">IF(OR(I85="",J85="",$G85="",$H85=""),0,IF(AND(I85=$G85,J85=$H85),8,IF(SIGN(I85-J85)=SIGN($G85-$H85),3,0)))</f>
        <v>0</v>
      </c>
      <c r="L85" s="14"/>
      <c r="M85" s="14"/>
      <c r="N85" s="25" t="n">
        <f aca="false">IF(OR(L85="",M85="",$G85="",$H85=""),0,IF(AND(L85=$G85,M85=$H85),8,IF(SIGN(L85-M85)=SIGN($G85-$H85),3,0)))</f>
        <v>0</v>
      </c>
      <c r="O85" s="14"/>
      <c r="P85" s="14"/>
      <c r="Q85" s="25" t="n">
        <f aca="false">IF(OR(O85="",P85="",$G85="",$H85=""),0,IF(AND(O85=$G85,P85=$H85),8,IF(SIGN(O85-P85)=SIGN($G85-$H85),3,0)))</f>
        <v>0</v>
      </c>
      <c r="R85" s="14"/>
      <c r="S85" s="14"/>
      <c r="T85" s="25" t="n">
        <f aca="false">IF(OR(R85="",S85="",$G85="",$H85=""),0,IF(AND(R85=$G85,S85=$H85),8,IF(SIGN(R85-S85)=SIGN($G85-$H85),3,0)))</f>
        <v>0</v>
      </c>
      <c r="U85" s="14"/>
      <c r="V85" s="14"/>
      <c r="W85" s="25" t="n">
        <f aca="false">IF(OR(U85="",V85="",$G85="",$H85=""),0,IF(AND(U85=$G85,V85=$H85),8,IF(SIGN(U85-V85)=SIGN($G85-$H85),3,0)))</f>
        <v>0</v>
      </c>
      <c r="X85" s="14"/>
      <c r="Y85" s="14"/>
      <c r="Z85" s="25" t="n">
        <f aca="false">IF(OR(X85="",Y85="",$G85="",$H85=""),0,IF(AND(X85=$G85,Y85=$H85),8,IF(SIGN(X85-Y85)=SIGN($G85-$H85),3,0)))</f>
        <v>0</v>
      </c>
      <c r="AA85" s="14"/>
      <c r="AB85" s="14"/>
      <c r="AC85" s="25" t="n">
        <f aca="false">IF(OR(AA85="",AB85="",$G85="",$H85=""),0,IF(AND(AA85=$G85,AB85=$H85),8,IF(SIGN(AA85-AB85)=SIGN($G85-$H85),3,0)))</f>
        <v>0</v>
      </c>
      <c r="AD85" s="14"/>
      <c r="AE85" s="14"/>
      <c r="AF85" s="25" t="n">
        <f aca="false">IF(OR(AD85="",AE85="",$G85="",$H85=""),0,IF(AND(AD85=$G85,AE85=$H85),8,IF(SIGN(AD85-AE85)=SIGN($G85-$H85),3,0)))</f>
        <v>0</v>
      </c>
      <c r="AG85" s="14"/>
      <c r="AH85" s="14"/>
      <c r="AI85" s="25" t="n">
        <f aca="false">IF(OR(AG85="",AH85="",$G85="",$H85=""),0,IF(AND(AG85=$G85,AH85=$H85),8,IF(SIGN(AG85-AH85)=SIGN($G85-$H85),3,0)))</f>
        <v>0</v>
      </c>
    </row>
    <row r="86" customFormat="false" ht="15" hidden="false" customHeight="true" outlineLevel="0" collapsed="false">
      <c r="A86" s="21" t="n">
        <v>83</v>
      </c>
      <c r="B86" s="22" t="n">
        <v>46205</v>
      </c>
      <c r="C86" s="23" t="s">
        <v>106</v>
      </c>
      <c r="D86" s="21"/>
      <c r="E86" s="24" t="s">
        <v>127</v>
      </c>
      <c r="F86" s="24" t="s">
        <v>128</v>
      </c>
      <c r="G86" s="14" t="n">
        <v>2</v>
      </c>
      <c r="H86" s="14" t="n">
        <v>1</v>
      </c>
      <c r="I86" s="14"/>
      <c r="J86" s="14"/>
      <c r="K86" s="25" t="n">
        <f aca="false">IF(OR(I86="",J86="",$G86="",$H86=""),0,IF(AND(I86=$G86,J86=$H86),8,IF(SIGN(I86-J86)=SIGN($G86-$H86),3,0)))</f>
        <v>0</v>
      </c>
      <c r="L86" s="14"/>
      <c r="M86" s="14"/>
      <c r="N86" s="25" t="n">
        <f aca="false">IF(OR(L86="",M86="",$G86="",$H86=""),0,IF(AND(L86=$G86,M86=$H86),8,IF(SIGN(L86-M86)=SIGN($G86-$H86),3,0)))</f>
        <v>0</v>
      </c>
      <c r="O86" s="14"/>
      <c r="P86" s="14"/>
      <c r="Q86" s="25" t="n">
        <f aca="false">IF(OR(O86="",P86="",$G86="",$H86=""),0,IF(AND(O86=$G86,P86=$H86),8,IF(SIGN(O86-P86)=SIGN($G86-$H86),3,0)))</f>
        <v>0</v>
      </c>
      <c r="R86" s="14"/>
      <c r="S86" s="14"/>
      <c r="T86" s="25" t="n">
        <f aca="false">IF(OR(R86="",S86="",$G86="",$H86=""),0,IF(AND(R86=$G86,S86=$H86),8,IF(SIGN(R86-S86)=SIGN($G86-$H86),3,0)))</f>
        <v>0</v>
      </c>
      <c r="U86" s="14" t="n">
        <v>2</v>
      </c>
      <c r="V86" s="14" t="n">
        <v>1</v>
      </c>
      <c r="W86" s="25" t="n">
        <f aca="false">IF(OR(U86="",V86="",$G86="",$H86=""),0,IF(AND(U86=$G86,V86=$H86),8,IF(SIGN(U86-V86)=SIGN($G86-$H86),3,0)))</f>
        <v>8</v>
      </c>
      <c r="X86" s="14"/>
      <c r="Y86" s="14"/>
      <c r="Z86" s="25" t="n">
        <f aca="false">IF(OR(X86="",Y86="",$G86="",$H86=""),0,IF(AND(X86=$G86,Y86=$H86),8,IF(SIGN(X86-Y86)=SIGN($G86-$H86),3,0)))</f>
        <v>0</v>
      </c>
      <c r="AA86" s="14"/>
      <c r="AB86" s="14"/>
      <c r="AC86" s="25" t="n">
        <f aca="false">IF(OR(AA86="",AB86="",$G86="",$H86=""),0,IF(AND(AA86=$G86,AB86=$H86),8,IF(SIGN(AA86-AB86)=SIGN($G86-$H86),3,0)))</f>
        <v>0</v>
      </c>
      <c r="AD86" s="14"/>
      <c r="AE86" s="14"/>
      <c r="AF86" s="25" t="n">
        <f aca="false">IF(OR(AD86="",AE86="",$G86="",$H86=""),0,IF(AND(AD86=$G86,AE86=$H86),8,IF(SIGN(AD86-AE86)=SIGN($G86-$H86),3,0)))</f>
        <v>0</v>
      </c>
      <c r="AG86" s="14"/>
      <c r="AH86" s="14"/>
      <c r="AI86" s="25" t="n">
        <f aca="false">IF(OR(AG86="",AH86="",$G86="",$H86=""),0,IF(AND(AG86=$G86,AH86=$H86),8,IF(SIGN(AG86-AH86)=SIGN($G86-$H86),3,0)))</f>
        <v>0</v>
      </c>
    </row>
    <row r="87" customFormat="false" ht="15" hidden="false" customHeight="true" outlineLevel="0" collapsed="false">
      <c r="A87" s="21" t="n">
        <v>84</v>
      </c>
      <c r="B87" s="22" t="n">
        <v>46205</v>
      </c>
      <c r="C87" s="23" t="s">
        <v>106</v>
      </c>
      <c r="D87" s="21"/>
      <c r="E87" s="24" t="s">
        <v>129</v>
      </c>
      <c r="F87" s="24" t="s">
        <v>130</v>
      </c>
      <c r="G87" s="14" t="n">
        <v>3</v>
      </c>
      <c r="H87" s="14" t="n">
        <v>0</v>
      </c>
      <c r="I87" s="14"/>
      <c r="J87" s="14"/>
      <c r="K87" s="25" t="n">
        <f aca="false">IF(OR(I87="",J87="",$G87="",$H87=""),0,IF(AND(I87=$G87,J87=$H87),8,IF(SIGN(I87-J87)=SIGN($G87-$H87),3,0)))</f>
        <v>0</v>
      </c>
      <c r="L87" s="14"/>
      <c r="M87" s="14"/>
      <c r="N87" s="25" t="n">
        <f aca="false">IF(OR(L87="",M87="",$G87="",$H87=""),0,IF(AND(L87=$G87,M87=$H87),8,IF(SIGN(L87-M87)=SIGN($G87-$H87),3,0)))</f>
        <v>0</v>
      </c>
      <c r="O87" s="14"/>
      <c r="P87" s="14"/>
      <c r="Q87" s="25" t="n">
        <f aca="false">IF(OR(O87="",P87="",$G87="",$H87=""),0,IF(AND(O87=$G87,P87=$H87),8,IF(SIGN(O87-P87)=SIGN($G87-$H87),3,0)))</f>
        <v>0</v>
      </c>
      <c r="R87" s="14"/>
      <c r="S87" s="14"/>
      <c r="T87" s="25" t="n">
        <f aca="false">IF(OR(R87="",S87="",$G87="",$H87=""),0,IF(AND(R87=$G87,S87=$H87),8,IF(SIGN(R87-S87)=SIGN($G87-$H87),3,0)))</f>
        <v>0</v>
      </c>
      <c r="U87" s="14" t="n">
        <v>2</v>
      </c>
      <c r="V87" s="14" t="n">
        <v>1</v>
      </c>
      <c r="W87" s="25" t="n">
        <f aca="false">IF(OR(U87="",V87="",$G87="",$H87=""),0,IF(AND(U87=$G87,V87=$H87),8,IF(SIGN(U87-V87)=SIGN($G87-$H87),3,0)))</f>
        <v>3</v>
      </c>
      <c r="X87" s="14"/>
      <c r="Y87" s="14"/>
      <c r="Z87" s="25" t="n">
        <f aca="false">IF(OR(X87="",Y87="",$G87="",$H87=""),0,IF(AND(X87=$G87,Y87=$H87),8,IF(SIGN(X87-Y87)=SIGN($G87-$H87),3,0)))</f>
        <v>0</v>
      </c>
      <c r="AA87" s="14"/>
      <c r="AB87" s="14"/>
      <c r="AC87" s="25" t="n">
        <f aca="false">IF(OR(AA87="",AB87="",$G87="",$H87=""),0,IF(AND(AA87=$G87,AB87=$H87),8,IF(SIGN(AA87-AB87)=SIGN($G87-$H87),3,0)))</f>
        <v>0</v>
      </c>
      <c r="AD87" s="14"/>
      <c r="AE87" s="14"/>
      <c r="AF87" s="25" t="n">
        <f aca="false">IF(OR(AD87="",AE87="",$G87="",$H87=""),0,IF(AND(AD87=$G87,AE87=$H87),8,IF(SIGN(AD87-AE87)=SIGN($G87-$H87),3,0)))</f>
        <v>0</v>
      </c>
      <c r="AG87" s="14"/>
      <c r="AH87" s="14"/>
      <c r="AI87" s="25" t="n">
        <f aca="false">IF(OR(AG87="",AH87="",$G87="",$H87=""),0,IF(AND(AG87=$G87,AH87=$H87),8,IF(SIGN(AG87-AH87)=SIGN($G87-$H87),3,0)))</f>
        <v>0</v>
      </c>
    </row>
    <row r="88" customFormat="false" ht="15" hidden="false" customHeight="true" outlineLevel="0" collapsed="false">
      <c r="A88" s="21" t="n">
        <v>85</v>
      </c>
      <c r="B88" s="22" t="n">
        <v>46205</v>
      </c>
      <c r="C88" s="23" t="s">
        <v>106</v>
      </c>
      <c r="D88" s="21"/>
      <c r="E88" s="24" t="s">
        <v>131</v>
      </c>
      <c r="F88" s="24" t="s">
        <v>132</v>
      </c>
      <c r="G88" s="14" t="n">
        <v>2</v>
      </c>
      <c r="H88" s="14" t="n">
        <v>0</v>
      </c>
      <c r="I88" s="14"/>
      <c r="J88" s="14"/>
      <c r="K88" s="25" t="n">
        <f aca="false">IF(OR(I88="",J88="",$G88="",$H88=""),0,IF(AND(I88=$G88,J88=$H88),8,IF(SIGN(I88-J88)=SIGN($G88-$H88),3,0)))</f>
        <v>0</v>
      </c>
      <c r="L88" s="14"/>
      <c r="M88" s="14"/>
      <c r="N88" s="25" t="n">
        <f aca="false">IF(OR(L88="",M88="",$G88="",$H88=""),0,IF(AND(L88=$G88,M88=$H88),8,IF(SIGN(L88-M88)=SIGN($G88-$H88),3,0)))</f>
        <v>0</v>
      </c>
      <c r="O88" s="14"/>
      <c r="P88" s="14"/>
      <c r="Q88" s="25" t="n">
        <f aca="false">IF(OR(O88="",P88="",$G88="",$H88=""),0,IF(AND(O88=$G88,P88=$H88),8,IF(SIGN(O88-P88)=SIGN($G88-$H88),3,0)))</f>
        <v>0</v>
      </c>
      <c r="R88" s="14"/>
      <c r="S88" s="14"/>
      <c r="T88" s="25" t="n">
        <f aca="false">IF(OR(R88="",S88="",$G88="",$H88=""),0,IF(AND(R88=$G88,S88=$H88),8,IF(SIGN(R88-S88)=SIGN($G88-$H88),3,0)))</f>
        <v>0</v>
      </c>
      <c r="U88" s="14" t="n">
        <v>2</v>
      </c>
      <c r="V88" s="14" t="n">
        <v>0</v>
      </c>
      <c r="W88" s="25" t="n">
        <f aca="false">IF(OR(U88="",V88="",$G88="",$H88=""),0,IF(AND(U88=$G88,V88=$H88),8,IF(SIGN(U88-V88)=SIGN($G88-$H88),3,0)))</f>
        <v>8</v>
      </c>
      <c r="X88" s="14"/>
      <c r="Y88" s="14"/>
      <c r="Z88" s="25" t="n">
        <f aca="false">IF(OR(X88="",Y88="",$G88="",$H88=""),0,IF(AND(X88=$G88,Y88=$H88),8,IF(SIGN(X88-Y88)=SIGN($G88-$H88),3,0)))</f>
        <v>0</v>
      </c>
      <c r="AA88" s="14"/>
      <c r="AB88" s="14"/>
      <c r="AC88" s="25" t="n">
        <f aca="false">IF(OR(AA88="",AB88="",$G88="",$H88=""),0,IF(AND(AA88=$G88,AB88=$H88),8,IF(SIGN(AA88-AB88)=SIGN($G88-$H88),3,0)))</f>
        <v>0</v>
      </c>
      <c r="AD88" s="14"/>
      <c r="AE88" s="14"/>
      <c r="AF88" s="25" t="n">
        <f aca="false">IF(OR(AD88="",AE88="",$G88="",$H88=""),0,IF(AND(AD88=$G88,AE88=$H88),8,IF(SIGN(AD88-AE88)=SIGN($G88-$H88),3,0)))</f>
        <v>0</v>
      </c>
      <c r="AG88" s="14"/>
      <c r="AH88" s="14"/>
      <c r="AI88" s="25" t="n">
        <f aca="false">IF(OR(AG88="",AH88="",$G88="",$H88=""),0,IF(AND(AG88=$G88,AH88=$H88),8,IF(SIGN(AG88-AH88)=SIGN($G88-$H88),3,0)))</f>
        <v>0</v>
      </c>
    </row>
    <row r="89" customFormat="false" ht="15" hidden="false" customHeight="true" outlineLevel="0" collapsed="false">
      <c r="A89" s="21" t="n">
        <v>86</v>
      </c>
      <c r="B89" s="22" t="n">
        <v>46206</v>
      </c>
      <c r="C89" s="23" t="s">
        <v>106</v>
      </c>
      <c r="D89" s="21"/>
      <c r="E89" s="24" t="s">
        <v>133</v>
      </c>
      <c r="F89" s="24" t="s">
        <v>134</v>
      </c>
      <c r="G89" s="14"/>
      <c r="H89" s="14"/>
      <c r="I89" s="14"/>
      <c r="J89" s="14"/>
      <c r="K89" s="25" t="n">
        <f aca="false">IF(OR(I89="",J89="",$G89="",$H89=""),0,IF(AND(I89=$G89,J89=$H89),8,IF(SIGN(I89-J89)=SIGN($G89-$H89),3,0)))</f>
        <v>0</v>
      </c>
      <c r="L89" s="14"/>
      <c r="M89" s="14"/>
      <c r="N89" s="25" t="n">
        <f aca="false">IF(OR(L89="",M89="",$G89="",$H89=""),0,IF(AND(L89=$G89,M89=$H89),8,IF(SIGN(L89-M89)=SIGN($G89-$H89),3,0)))</f>
        <v>0</v>
      </c>
      <c r="O89" s="14"/>
      <c r="P89" s="14"/>
      <c r="Q89" s="25" t="n">
        <f aca="false">IF(OR(O89="",P89="",$G89="",$H89=""),0,IF(AND(O89=$G89,P89=$H89),8,IF(SIGN(O89-P89)=SIGN($G89-$H89),3,0)))</f>
        <v>0</v>
      </c>
      <c r="R89" s="14"/>
      <c r="S89" s="14"/>
      <c r="T89" s="25" t="n">
        <f aca="false">IF(OR(R89="",S89="",$G89="",$H89=""),0,IF(AND(R89=$G89,S89=$H89),8,IF(SIGN(R89-S89)=SIGN($G89-$H89),3,0)))</f>
        <v>0</v>
      </c>
      <c r="U89" s="14"/>
      <c r="V89" s="14"/>
      <c r="W89" s="25" t="n">
        <f aca="false">IF(OR(U89="",V89="",$G89="",$H89=""),0,IF(AND(U89=$G89,V89=$H89),8,IF(SIGN(U89-V89)=SIGN($G89-$H89),3,0)))</f>
        <v>0</v>
      </c>
      <c r="X89" s="14"/>
      <c r="Y89" s="14"/>
      <c r="Z89" s="25" t="n">
        <f aca="false">IF(OR(X89="",Y89="",$G89="",$H89=""),0,IF(AND(X89=$G89,Y89=$H89),8,IF(SIGN(X89-Y89)=SIGN($G89-$H89),3,0)))</f>
        <v>0</v>
      </c>
      <c r="AA89" s="14"/>
      <c r="AB89" s="14"/>
      <c r="AC89" s="25" t="n">
        <f aca="false">IF(OR(AA89="",AB89="",$G89="",$H89=""),0,IF(AND(AA89=$G89,AB89=$H89),8,IF(SIGN(AA89-AB89)=SIGN($G89-$H89),3,0)))</f>
        <v>0</v>
      </c>
      <c r="AD89" s="14"/>
      <c r="AE89" s="14"/>
      <c r="AF89" s="25" t="n">
        <f aca="false">IF(OR(AD89="",AE89="",$G89="",$H89=""),0,IF(AND(AD89=$G89,AE89=$H89),8,IF(SIGN(AD89-AE89)=SIGN($G89-$H89),3,0)))</f>
        <v>0</v>
      </c>
      <c r="AG89" s="14"/>
      <c r="AH89" s="14"/>
      <c r="AI89" s="25" t="n">
        <f aca="false">IF(OR(AG89="",AH89="",$G89="",$H89=""),0,IF(AND(AG89=$G89,AH89=$H89),8,IF(SIGN(AG89-AH89)=SIGN($G89-$H89),3,0)))</f>
        <v>0</v>
      </c>
    </row>
    <row r="90" customFormat="false" ht="15" hidden="false" customHeight="true" outlineLevel="0" collapsed="false">
      <c r="A90" s="21" t="n">
        <v>87</v>
      </c>
      <c r="B90" s="22" t="n">
        <v>46206</v>
      </c>
      <c r="C90" s="23" t="s">
        <v>106</v>
      </c>
      <c r="D90" s="21"/>
      <c r="E90" s="24" t="s">
        <v>135</v>
      </c>
      <c r="F90" s="24" t="s">
        <v>136</v>
      </c>
      <c r="G90" s="14"/>
      <c r="H90" s="14"/>
      <c r="I90" s="14"/>
      <c r="J90" s="14"/>
      <c r="K90" s="25" t="n">
        <f aca="false">IF(OR(I90="",J90="",$G90="",$H90=""),0,IF(AND(I90=$G90,J90=$H90),8,IF(SIGN(I90-J90)=SIGN($G90-$H90),3,0)))</f>
        <v>0</v>
      </c>
      <c r="L90" s="14"/>
      <c r="M90" s="14"/>
      <c r="N90" s="25" t="n">
        <f aca="false">IF(OR(L90="",M90="",$G90="",$H90=""),0,IF(AND(L90=$G90,M90=$H90),8,IF(SIGN(L90-M90)=SIGN($G90-$H90),3,0)))</f>
        <v>0</v>
      </c>
      <c r="O90" s="14"/>
      <c r="P90" s="14"/>
      <c r="Q90" s="25" t="n">
        <f aca="false">IF(OR(O90="",P90="",$G90="",$H90=""),0,IF(AND(O90=$G90,P90=$H90),8,IF(SIGN(O90-P90)=SIGN($G90-$H90),3,0)))</f>
        <v>0</v>
      </c>
      <c r="R90" s="14"/>
      <c r="S90" s="14"/>
      <c r="T90" s="25" t="n">
        <f aca="false">IF(OR(R90="",S90="",$G90="",$H90=""),0,IF(AND(R90=$G90,S90=$H90),8,IF(SIGN(R90-S90)=SIGN($G90-$H90),3,0)))</f>
        <v>0</v>
      </c>
      <c r="U90" s="14"/>
      <c r="V90" s="14"/>
      <c r="W90" s="25" t="n">
        <f aca="false">IF(OR(U90="",V90="",$G90="",$H90=""),0,IF(AND(U90=$G90,V90=$H90),8,IF(SIGN(U90-V90)=SIGN($G90-$H90),3,0)))</f>
        <v>0</v>
      </c>
      <c r="X90" s="14"/>
      <c r="Y90" s="14"/>
      <c r="Z90" s="25" t="n">
        <f aca="false">IF(OR(X90="",Y90="",$G90="",$H90=""),0,IF(AND(X90=$G90,Y90=$H90),8,IF(SIGN(X90-Y90)=SIGN($G90-$H90),3,0)))</f>
        <v>0</v>
      </c>
      <c r="AA90" s="14"/>
      <c r="AB90" s="14"/>
      <c r="AC90" s="25" t="n">
        <f aca="false">IF(OR(AA90="",AB90="",$G90="",$H90=""),0,IF(AND(AA90=$G90,AB90=$H90),8,IF(SIGN(AA90-AB90)=SIGN($G90-$H90),3,0)))</f>
        <v>0</v>
      </c>
      <c r="AD90" s="14"/>
      <c r="AE90" s="14"/>
      <c r="AF90" s="25" t="n">
        <f aca="false">IF(OR(AD90="",AE90="",$G90="",$H90=""),0,IF(AND(AD90=$G90,AE90=$H90),8,IF(SIGN(AD90-AE90)=SIGN($G90-$H90),3,0)))</f>
        <v>0</v>
      </c>
      <c r="AG90" s="14"/>
      <c r="AH90" s="14"/>
      <c r="AI90" s="25" t="n">
        <f aca="false">IF(OR(AG90="",AH90="",$G90="",$H90=""),0,IF(AND(AG90=$G90,AH90=$H90),8,IF(SIGN(AG90-AH90)=SIGN($G90-$H90),3,0)))</f>
        <v>0</v>
      </c>
    </row>
    <row r="91" customFormat="false" ht="15" hidden="false" customHeight="true" outlineLevel="0" collapsed="false">
      <c r="A91" s="21" t="n">
        <v>88</v>
      </c>
      <c r="B91" s="22" t="n">
        <v>46206</v>
      </c>
      <c r="C91" s="23" t="s">
        <v>106</v>
      </c>
      <c r="D91" s="21"/>
      <c r="E91" s="24" t="s">
        <v>137</v>
      </c>
      <c r="F91" s="24" t="s">
        <v>132</v>
      </c>
      <c r="G91" s="14"/>
      <c r="H91" s="14"/>
      <c r="I91" s="14"/>
      <c r="J91" s="14"/>
      <c r="K91" s="25" t="n">
        <f aca="false">IF(OR(I91="",J91="",$G91="",$H91=""),0,IF(AND(I91=$G91,J91=$H91),8,IF(SIGN(I91-J91)=SIGN($G91-$H91),3,0)))</f>
        <v>0</v>
      </c>
      <c r="L91" s="14"/>
      <c r="M91" s="14"/>
      <c r="N91" s="25" t="n">
        <f aca="false">IF(OR(L91="",M91="",$G91="",$H91=""),0,IF(AND(L91=$G91,M91=$H91),8,IF(SIGN(L91-M91)=SIGN($G91-$H91),3,0)))</f>
        <v>0</v>
      </c>
      <c r="O91" s="14"/>
      <c r="P91" s="14"/>
      <c r="Q91" s="25" t="n">
        <f aca="false">IF(OR(O91="",P91="",$G91="",$H91=""),0,IF(AND(O91=$G91,P91=$H91),8,IF(SIGN(O91-P91)=SIGN($G91-$H91),3,0)))</f>
        <v>0</v>
      </c>
      <c r="R91" s="14"/>
      <c r="S91" s="14"/>
      <c r="T91" s="25" t="n">
        <f aca="false">IF(OR(R91="",S91="",$G91="",$H91=""),0,IF(AND(R91=$G91,S91=$H91),8,IF(SIGN(R91-S91)=SIGN($G91-$H91),3,0)))</f>
        <v>0</v>
      </c>
      <c r="U91" s="14"/>
      <c r="V91" s="14"/>
      <c r="W91" s="25" t="n">
        <f aca="false">IF(OR(U91="",V91="",$G91="",$H91=""),0,IF(AND(U91=$G91,V91=$H91),8,IF(SIGN(U91-V91)=SIGN($G91-$H91),3,0)))</f>
        <v>0</v>
      </c>
      <c r="X91" s="14"/>
      <c r="Y91" s="14"/>
      <c r="Z91" s="25" t="n">
        <f aca="false">IF(OR(X91="",Y91="",$G91="",$H91=""),0,IF(AND(X91=$G91,Y91=$H91),8,IF(SIGN(X91-Y91)=SIGN($G91-$H91),3,0)))</f>
        <v>0</v>
      </c>
      <c r="AA91" s="14"/>
      <c r="AB91" s="14"/>
      <c r="AC91" s="25" t="n">
        <f aca="false">IF(OR(AA91="",AB91="",$G91="",$H91=""),0,IF(AND(AA91=$G91,AB91=$H91),8,IF(SIGN(AA91-AB91)=SIGN($G91-$H91),3,0)))</f>
        <v>0</v>
      </c>
      <c r="AD91" s="14"/>
      <c r="AE91" s="14"/>
      <c r="AF91" s="25" t="n">
        <f aca="false">IF(OR(AD91="",AE91="",$G91="",$H91=""),0,IF(AND(AD91=$G91,AE91=$H91),8,IF(SIGN(AD91-AE91)=SIGN($G91-$H91),3,0)))</f>
        <v>0</v>
      </c>
      <c r="AG91" s="14"/>
      <c r="AH91" s="14"/>
      <c r="AI91" s="25" t="n">
        <f aca="false">IF(OR(AG91="",AH91="",$G91="",$H91=""),0,IF(AND(AG91=$G91,AH91=$H91),8,IF(SIGN(AG91-AH91)=SIGN($G91-$H91),3,0)))</f>
        <v>0</v>
      </c>
    </row>
    <row r="92" customFormat="false" ht="15" hidden="false" customHeight="true" outlineLevel="0" collapsed="false">
      <c r="A92" s="21" t="n">
        <v>89</v>
      </c>
      <c r="B92" s="22" t="n">
        <v>46207</v>
      </c>
      <c r="C92" s="23" t="s">
        <v>138</v>
      </c>
      <c r="D92" s="21"/>
      <c r="E92" s="24" t="s">
        <v>139</v>
      </c>
      <c r="F92" s="24" t="s">
        <v>139</v>
      </c>
      <c r="G92" s="14"/>
      <c r="H92" s="14"/>
      <c r="I92" s="14"/>
      <c r="J92" s="14"/>
      <c r="K92" s="25" t="n">
        <f aca="false">IF(OR(I92="",J92="",$G92="",$H92=""),0,IF(AND(I92=$G92,J92=$H92),8,IF(SIGN(I92-J92)=SIGN($G92-$H92),3,0)))</f>
        <v>0</v>
      </c>
      <c r="L92" s="14"/>
      <c r="M92" s="14"/>
      <c r="N92" s="25" t="n">
        <f aca="false">IF(OR(L92="",M92="",$G92="",$H92=""),0,IF(AND(L92=$G92,M92=$H92),8,IF(SIGN(L92-M92)=SIGN($G92-$H92),3,0)))</f>
        <v>0</v>
      </c>
      <c r="O92" s="14"/>
      <c r="P92" s="14"/>
      <c r="Q92" s="25" t="n">
        <f aca="false">IF(OR(O92="",P92="",$G92="",$H92=""),0,IF(AND(O92=$G92,P92=$H92),8,IF(SIGN(O92-P92)=SIGN($G92-$H92),3,0)))</f>
        <v>0</v>
      </c>
      <c r="R92" s="14"/>
      <c r="S92" s="14"/>
      <c r="T92" s="25" t="n">
        <f aca="false">IF(OR(R92="",S92="",$G92="",$H92=""),0,IF(AND(R92=$G92,S92=$H92),8,IF(SIGN(R92-S92)=SIGN($G92-$H92),3,0)))</f>
        <v>0</v>
      </c>
      <c r="U92" s="14"/>
      <c r="V92" s="14"/>
      <c r="W92" s="25" t="n">
        <f aca="false">IF(OR(U92="",V92="",$G92="",$H92=""),0,IF(AND(U92=$G92,V92=$H92),8,IF(SIGN(U92-V92)=SIGN($G92-$H92),3,0)))</f>
        <v>0</v>
      </c>
      <c r="X92" s="14"/>
      <c r="Y92" s="14"/>
      <c r="Z92" s="25" t="n">
        <f aca="false">IF(OR(X92="",Y92="",$G92="",$H92=""),0,IF(AND(X92=$G92,Y92=$H92),8,IF(SIGN(X92-Y92)=SIGN($G92-$H92),3,0)))</f>
        <v>0</v>
      </c>
      <c r="AA92" s="14"/>
      <c r="AB92" s="14"/>
      <c r="AC92" s="25" t="n">
        <f aca="false">IF(OR(AA92="",AB92="",$G92="",$H92=""),0,IF(AND(AA92=$G92,AB92=$H92),8,IF(SIGN(AA92-AB92)=SIGN($G92-$H92),3,0)))</f>
        <v>0</v>
      </c>
      <c r="AD92" s="14"/>
      <c r="AE92" s="14"/>
      <c r="AF92" s="25" t="n">
        <f aca="false">IF(OR(AD92="",AE92="",$G92="",$H92=""),0,IF(AND(AD92=$G92,AE92=$H92),8,IF(SIGN(AD92-AE92)=SIGN($G92-$H92),3,0)))</f>
        <v>0</v>
      </c>
      <c r="AG92" s="14"/>
      <c r="AH92" s="14"/>
      <c r="AI92" s="25" t="n">
        <f aca="false">IF(OR(AG92="",AH92="",$G92="",$H92=""),0,IF(AND(AG92=$G92,AH92=$H92),8,IF(SIGN(AG92-AH92)=SIGN($G92-$H92),3,0)))</f>
        <v>0</v>
      </c>
    </row>
    <row r="93" customFormat="false" ht="15" hidden="false" customHeight="true" outlineLevel="0" collapsed="false">
      <c r="A93" s="21" t="n">
        <v>90</v>
      </c>
      <c r="B93" s="22" t="n">
        <v>46207</v>
      </c>
      <c r="C93" s="23" t="s">
        <v>138</v>
      </c>
      <c r="D93" s="21"/>
      <c r="E93" s="24" t="s">
        <v>139</v>
      </c>
      <c r="F93" s="24" t="s">
        <v>139</v>
      </c>
      <c r="G93" s="14"/>
      <c r="H93" s="14"/>
      <c r="I93" s="14"/>
      <c r="J93" s="14"/>
      <c r="K93" s="25" t="n">
        <f aca="false">IF(OR(I93="",J93="",$G93="",$H93=""),0,IF(AND(I93=$G93,J93=$H93),8,IF(SIGN(I93-J93)=SIGN($G93-$H93),3,0)))</f>
        <v>0</v>
      </c>
      <c r="L93" s="14"/>
      <c r="M93" s="14"/>
      <c r="N93" s="25" t="n">
        <f aca="false">IF(OR(L93="",M93="",$G93="",$H93=""),0,IF(AND(L93=$G93,M93=$H93),8,IF(SIGN(L93-M93)=SIGN($G93-$H93),3,0)))</f>
        <v>0</v>
      </c>
      <c r="O93" s="14"/>
      <c r="P93" s="14"/>
      <c r="Q93" s="25" t="n">
        <f aca="false">IF(OR(O93="",P93="",$G93="",$H93=""),0,IF(AND(O93=$G93,P93=$H93),8,IF(SIGN(O93-P93)=SIGN($G93-$H93),3,0)))</f>
        <v>0</v>
      </c>
      <c r="R93" s="14"/>
      <c r="S93" s="14"/>
      <c r="T93" s="25" t="n">
        <f aca="false">IF(OR(R93="",S93="",$G93="",$H93=""),0,IF(AND(R93=$G93,S93=$H93),8,IF(SIGN(R93-S93)=SIGN($G93-$H93),3,0)))</f>
        <v>0</v>
      </c>
      <c r="U93" s="14"/>
      <c r="V93" s="14"/>
      <c r="W93" s="25" t="n">
        <f aca="false">IF(OR(U93="",V93="",$G93="",$H93=""),0,IF(AND(U93=$G93,V93=$H93),8,IF(SIGN(U93-V93)=SIGN($G93-$H93),3,0)))</f>
        <v>0</v>
      </c>
      <c r="X93" s="14"/>
      <c r="Y93" s="14"/>
      <c r="Z93" s="25" t="n">
        <f aca="false">IF(OR(X93="",Y93="",$G93="",$H93=""),0,IF(AND(X93=$G93,Y93=$H93),8,IF(SIGN(X93-Y93)=SIGN($G93-$H93),3,0)))</f>
        <v>0</v>
      </c>
      <c r="AA93" s="14"/>
      <c r="AB93" s="14"/>
      <c r="AC93" s="25" t="n">
        <f aca="false">IF(OR(AA93="",AB93="",$G93="",$H93=""),0,IF(AND(AA93=$G93,AB93=$H93),8,IF(SIGN(AA93-AB93)=SIGN($G93-$H93),3,0)))</f>
        <v>0</v>
      </c>
      <c r="AD93" s="14"/>
      <c r="AE93" s="14"/>
      <c r="AF93" s="25" t="n">
        <f aca="false">IF(OR(AD93="",AE93="",$G93="",$H93=""),0,IF(AND(AD93=$G93,AE93=$H93),8,IF(SIGN(AD93-AE93)=SIGN($G93-$H93),3,0)))</f>
        <v>0</v>
      </c>
      <c r="AG93" s="14"/>
      <c r="AH93" s="14"/>
      <c r="AI93" s="25" t="n">
        <f aca="false">IF(OR(AG93="",AH93="",$G93="",$H93=""),0,IF(AND(AG93=$G93,AH93=$H93),8,IF(SIGN(AG93-AH93)=SIGN($G93-$H93),3,0)))</f>
        <v>0</v>
      </c>
    </row>
    <row r="94" customFormat="false" ht="15" hidden="false" customHeight="true" outlineLevel="0" collapsed="false">
      <c r="A94" s="21" t="n">
        <v>91</v>
      </c>
      <c r="B94" s="22" t="n">
        <v>46208</v>
      </c>
      <c r="C94" s="23" t="s">
        <v>138</v>
      </c>
      <c r="D94" s="21"/>
      <c r="E94" s="24" t="s">
        <v>139</v>
      </c>
      <c r="F94" s="24" t="s">
        <v>139</v>
      </c>
      <c r="G94" s="14"/>
      <c r="H94" s="14"/>
      <c r="I94" s="14"/>
      <c r="J94" s="14"/>
      <c r="K94" s="25" t="n">
        <f aca="false">IF(OR(I94="",J94="",$G94="",$H94=""),0,IF(AND(I94=$G94,J94=$H94),8,IF(SIGN(I94-J94)=SIGN($G94-$H94),3,0)))</f>
        <v>0</v>
      </c>
      <c r="L94" s="14"/>
      <c r="M94" s="14"/>
      <c r="N94" s="25" t="n">
        <f aca="false">IF(OR(L94="",M94="",$G94="",$H94=""),0,IF(AND(L94=$G94,M94=$H94),8,IF(SIGN(L94-M94)=SIGN($G94-$H94),3,0)))</f>
        <v>0</v>
      </c>
      <c r="O94" s="14"/>
      <c r="P94" s="14"/>
      <c r="Q94" s="25" t="n">
        <f aca="false">IF(OR(O94="",P94="",$G94="",$H94=""),0,IF(AND(O94=$G94,P94=$H94),8,IF(SIGN(O94-P94)=SIGN($G94-$H94),3,0)))</f>
        <v>0</v>
      </c>
      <c r="R94" s="14"/>
      <c r="S94" s="14"/>
      <c r="T94" s="25" t="n">
        <f aca="false">IF(OR(R94="",S94="",$G94="",$H94=""),0,IF(AND(R94=$G94,S94=$H94),8,IF(SIGN(R94-S94)=SIGN($G94-$H94),3,0)))</f>
        <v>0</v>
      </c>
      <c r="U94" s="14"/>
      <c r="V94" s="14"/>
      <c r="W94" s="25" t="n">
        <f aca="false">IF(OR(U94="",V94="",$G94="",$H94=""),0,IF(AND(U94=$G94,V94=$H94),8,IF(SIGN(U94-V94)=SIGN($G94-$H94),3,0)))</f>
        <v>0</v>
      </c>
      <c r="X94" s="14"/>
      <c r="Y94" s="14"/>
      <c r="Z94" s="25" t="n">
        <f aca="false">IF(OR(X94="",Y94="",$G94="",$H94=""),0,IF(AND(X94=$G94,Y94=$H94),8,IF(SIGN(X94-Y94)=SIGN($G94-$H94),3,0)))</f>
        <v>0</v>
      </c>
      <c r="AA94" s="14"/>
      <c r="AB94" s="14"/>
      <c r="AC94" s="25" t="n">
        <f aca="false">IF(OR(AA94="",AB94="",$G94="",$H94=""),0,IF(AND(AA94=$G94,AB94=$H94),8,IF(SIGN(AA94-AB94)=SIGN($G94-$H94),3,0)))</f>
        <v>0</v>
      </c>
      <c r="AD94" s="14"/>
      <c r="AE94" s="14"/>
      <c r="AF94" s="25" t="n">
        <f aca="false">IF(OR(AD94="",AE94="",$G94="",$H94=""),0,IF(AND(AD94=$G94,AE94=$H94),8,IF(SIGN(AD94-AE94)=SIGN($G94-$H94),3,0)))</f>
        <v>0</v>
      </c>
      <c r="AG94" s="14"/>
      <c r="AH94" s="14"/>
      <c r="AI94" s="25" t="n">
        <f aca="false">IF(OR(AG94="",AH94="",$G94="",$H94=""),0,IF(AND(AG94=$G94,AH94=$H94),8,IF(SIGN(AG94-AH94)=SIGN($G94-$H94),3,0)))</f>
        <v>0</v>
      </c>
    </row>
    <row r="95" customFormat="false" ht="15" hidden="false" customHeight="true" outlineLevel="0" collapsed="false">
      <c r="A95" s="21" t="n">
        <v>92</v>
      </c>
      <c r="B95" s="22" t="n">
        <v>46208</v>
      </c>
      <c r="C95" s="23" t="s">
        <v>138</v>
      </c>
      <c r="D95" s="21"/>
      <c r="E95" s="24" t="s">
        <v>139</v>
      </c>
      <c r="F95" s="24" t="s">
        <v>139</v>
      </c>
      <c r="G95" s="14"/>
      <c r="H95" s="14"/>
      <c r="I95" s="14"/>
      <c r="J95" s="14"/>
      <c r="K95" s="25" t="n">
        <f aca="false">IF(OR(I95="",J95="",$G95="",$H95=""),0,IF(AND(I95=$G95,J95=$H95),8,IF(SIGN(I95-J95)=SIGN($G95-$H95),3,0)))</f>
        <v>0</v>
      </c>
      <c r="L95" s="14"/>
      <c r="M95" s="14"/>
      <c r="N95" s="25" t="n">
        <f aca="false">IF(OR(L95="",M95="",$G95="",$H95=""),0,IF(AND(L95=$G95,M95=$H95),8,IF(SIGN(L95-M95)=SIGN($G95-$H95),3,0)))</f>
        <v>0</v>
      </c>
      <c r="O95" s="14"/>
      <c r="P95" s="14"/>
      <c r="Q95" s="25" t="n">
        <f aca="false">IF(OR(O95="",P95="",$G95="",$H95=""),0,IF(AND(O95=$G95,P95=$H95),8,IF(SIGN(O95-P95)=SIGN($G95-$H95),3,0)))</f>
        <v>0</v>
      </c>
      <c r="R95" s="14"/>
      <c r="S95" s="14"/>
      <c r="T95" s="25" t="n">
        <f aca="false">IF(OR(R95="",S95="",$G95="",$H95=""),0,IF(AND(R95=$G95,S95=$H95),8,IF(SIGN(R95-S95)=SIGN($G95-$H95),3,0)))</f>
        <v>0</v>
      </c>
      <c r="U95" s="14"/>
      <c r="V95" s="14"/>
      <c r="W95" s="25" t="n">
        <f aca="false">IF(OR(U95="",V95="",$G95="",$H95=""),0,IF(AND(U95=$G95,V95=$H95),8,IF(SIGN(U95-V95)=SIGN($G95-$H95),3,0)))</f>
        <v>0</v>
      </c>
      <c r="X95" s="14"/>
      <c r="Y95" s="14"/>
      <c r="Z95" s="25" t="n">
        <f aca="false">IF(OR(X95="",Y95="",$G95="",$H95=""),0,IF(AND(X95=$G95,Y95=$H95),8,IF(SIGN(X95-Y95)=SIGN($G95-$H95),3,0)))</f>
        <v>0</v>
      </c>
      <c r="AA95" s="14"/>
      <c r="AB95" s="14"/>
      <c r="AC95" s="25" t="n">
        <f aca="false">IF(OR(AA95="",AB95="",$G95="",$H95=""),0,IF(AND(AA95=$G95,AB95=$H95),8,IF(SIGN(AA95-AB95)=SIGN($G95-$H95),3,0)))</f>
        <v>0</v>
      </c>
      <c r="AD95" s="14"/>
      <c r="AE95" s="14"/>
      <c r="AF95" s="25" t="n">
        <f aca="false">IF(OR(AD95="",AE95="",$G95="",$H95=""),0,IF(AND(AD95=$G95,AE95=$H95),8,IF(SIGN(AD95-AE95)=SIGN($G95-$H95),3,0)))</f>
        <v>0</v>
      </c>
      <c r="AG95" s="14"/>
      <c r="AH95" s="14"/>
      <c r="AI95" s="25" t="n">
        <f aca="false">IF(OR(AG95="",AH95="",$G95="",$H95=""),0,IF(AND(AG95=$G95,AH95=$H95),8,IF(SIGN(AG95-AH95)=SIGN($G95-$H95),3,0)))</f>
        <v>0</v>
      </c>
    </row>
    <row r="96" customFormat="false" ht="15" hidden="false" customHeight="true" outlineLevel="0" collapsed="false">
      <c r="A96" s="21" t="n">
        <v>93</v>
      </c>
      <c r="B96" s="22" t="n">
        <v>46209</v>
      </c>
      <c r="C96" s="23" t="s">
        <v>138</v>
      </c>
      <c r="D96" s="21"/>
      <c r="E96" s="24" t="s">
        <v>139</v>
      </c>
      <c r="F96" s="24" t="s">
        <v>139</v>
      </c>
      <c r="G96" s="14"/>
      <c r="H96" s="14"/>
      <c r="I96" s="14"/>
      <c r="J96" s="14"/>
      <c r="K96" s="25" t="n">
        <f aca="false">IF(OR(I96="",J96="",$G96="",$H96=""),0,IF(AND(I96=$G96,J96=$H96),8,IF(SIGN(I96-J96)=SIGN($G96-$H96),3,0)))</f>
        <v>0</v>
      </c>
      <c r="L96" s="14"/>
      <c r="M96" s="14"/>
      <c r="N96" s="25" t="n">
        <f aca="false">IF(OR(L96="",M96="",$G96="",$H96=""),0,IF(AND(L96=$G96,M96=$H96),8,IF(SIGN(L96-M96)=SIGN($G96-$H96),3,0)))</f>
        <v>0</v>
      </c>
      <c r="O96" s="14"/>
      <c r="P96" s="14"/>
      <c r="Q96" s="25" t="n">
        <f aca="false">IF(OR(O96="",P96="",$G96="",$H96=""),0,IF(AND(O96=$G96,P96=$H96),8,IF(SIGN(O96-P96)=SIGN($G96-$H96),3,0)))</f>
        <v>0</v>
      </c>
      <c r="R96" s="14"/>
      <c r="S96" s="14"/>
      <c r="T96" s="25" t="n">
        <f aca="false">IF(OR(R96="",S96="",$G96="",$H96=""),0,IF(AND(R96=$G96,S96=$H96),8,IF(SIGN(R96-S96)=SIGN($G96-$H96),3,0)))</f>
        <v>0</v>
      </c>
      <c r="U96" s="14"/>
      <c r="V96" s="14"/>
      <c r="W96" s="25" t="n">
        <f aca="false">IF(OR(U96="",V96="",$G96="",$H96=""),0,IF(AND(U96=$G96,V96=$H96),8,IF(SIGN(U96-V96)=SIGN($G96-$H96),3,0)))</f>
        <v>0</v>
      </c>
      <c r="X96" s="14"/>
      <c r="Y96" s="14"/>
      <c r="Z96" s="25" t="n">
        <f aca="false">IF(OR(X96="",Y96="",$G96="",$H96=""),0,IF(AND(X96=$G96,Y96=$H96),8,IF(SIGN(X96-Y96)=SIGN($G96-$H96),3,0)))</f>
        <v>0</v>
      </c>
      <c r="AA96" s="14"/>
      <c r="AB96" s="14"/>
      <c r="AC96" s="25" t="n">
        <f aca="false">IF(OR(AA96="",AB96="",$G96="",$H96=""),0,IF(AND(AA96=$G96,AB96=$H96),8,IF(SIGN(AA96-AB96)=SIGN($G96-$H96),3,0)))</f>
        <v>0</v>
      </c>
      <c r="AD96" s="14"/>
      <c r="AE96" s="14"/>
      <c r="AF96" s="25" t="n">
        <f aca="false">IF(OR(AD96="",AE96="",$G96="",$H96=""),0,IF(AND(AD96=$G96,AE96=$H96),8,IF(SIGN(AD96-AE96)=SIGN($G96-$H96),3,0)))</f>
        <v>0</v>
      </c>
      <c r="AG96" s="14"/>
      <c r="AH96" s="14"/>
      <c r="AI96" s="25" t="n">
        <f aca="false">IF(OR(AG96="",AH96="",$G96="",$H96=""),0,IF(AND(AG96=$G96,AH96=$H96),8,IF(SIGN(AG96-AH96)=SIGN($G96-$H96),3,0)))</f>
        <v>0</v>
      </c>
    </row>
    <row r="97" customFormat="false" ht="15" hidden="false" customHeight="true" outlineLevel="0" collapsed="false">
      <c r="A97" s="21" t="n">
        <v>94</v>
      </c>
      <c r="B97" s="22" t="n">
        <v>46209</v>
      </c>
      <c r="C97" s="23" t="s">
        <v>138</v>
      </c>
      <c r="D97" s="21"/>
      <c r="E97" s="24" t="s">
        <v>139</v>
      </c>
      <c r="F97" s="24" t="s">
        <v>139</v>
      </c>
      <c r="G97" s="14"/>
      <c r="H97" s="14"/>
      <c r="I97" s="14"/>
      <c r="J97" s="14"/>
      <c r="K97" s="25" t="n">
        <f aca="false">IF(OR(I97="",J97="",$G97="",$H97=""),0,IF(AND(I97=$G97,J97=$H97),8,IF(SIGN(I97-J97)=SIGN($G97-$H97),3,0)))</f>
        <v>0</v>
      </c>
      <c r="L97" s="14"/>
      <c r="M97" s="14"/>
      <c r="N97" s="25" t="n">
        <f aca="false">IF(OR(L97="",M97="",$G97="",$H97=""),0,IF(AND(L97=$G97,M97=$H97),8,IF(SIGN(L97-M97)=SIGN($G97-$H97),3,0)))</f>
        <v>0</v>
      </c>
      <c r="O97" s="14"/>
      <c r="P97" s="14"/>
      <c r="Q97" s="25" t="n">
        <f aca="false">IF(OR(O97="",P97="",$G97="",$H97=""),0,IF(AND(O97=$G97,P97=$H97),8,IF(SIGN(O97-P97)=SIGN($G97-$H97),3,0)))</f>
        <v>0</v>
      </c>
      <c r="R97" s="14"/>
      <c r="S97" s="14"/>
      <c r="T97" s="25" t="n">
        <f aca="false">IF(OR(R97="",S97="",$G97="",$H97=""),0,IF(AND(R97=$G97,S97=$H97),8,IF(SIGN(R97-S97)=SIGN($G97-$H97),3,0)))</f>
        <v>0</v>
      </c>
      <c r="U97" s="14"/>
      <c r="V97" s="14"/>
      <c r="W97" s="25" t="n">
        <f aca="false">IF(OR(U97="",V97="",$G97="",$H97=""),0,IF(AND(U97=$G97,V97=$H97),8,IF(SIGN(U97-V97)=SIGN($G97-$H97),3,0)))</f>
        <v>0</v>
      </c>
      <c r="X97" s="14"/>
      <c r="Y97" s="14"/>
      <c r="Z97" s="25" t="n">
        <f aca="false">IF(OR(X97="",Y97="",$G97="",$H97=""),0,IF(AND(X97=$G97,Y97=$H97),8,IF(SIGN(X97-Y97)=SIGN($G97-$H97),3,0)))</f>
        <v>0</v>
      </c>
      <c r="AA97" s="14"/>
      <c r="AB97" s="14"/>
      <c r="AC97" s="25" t="n">
        <f aca="false">IF(OR(AA97="",AB97="",$G97="",$H97=""),0,IF(AND(AA97=$G97,AB97=$H97),8,IF(SIGN(AA97-AB97)=SIGN($G97-$H97),3,0)))</f>
        <v>0</v>
      </c>
      <c r="AD97" s="14"/>
      <c r="AE97" s="14"/>
      <c r="AF97" s="25" t="n">
        <f aca="false">IF(OR(AD97="",AE97="",$G97="",$H97=""),0,IF(AND(AD97=$G97,AE97=$H97),8,IF(SIGN(AD97-AE97)=SIGN($G97-$H97),3,0)))</f>
        <v>0</v>
      </c>
      <c r="AG97" s="14"/>
      <c r="AH97" s="14"/>
      <c r="AI97" s="25" t="n">
        <f aca="false">IF(OR(AG97="",AH97="",$G97="",$H97=""),0,IF(AND(AG97=$G97,AH97=$H97),8,IF(SIGN(AG97-AH97)=SIGN($G97-$H97),3,0)))</f>
        <v>0</v>
      </c>
    </row>
    <row r="98" customFormat="false" ht="15" hidden="false" customHeight="true" outlineLevel="0" collapsed="false">
      <c r="A98" s="21" t="n">
        <v>95</v>
      </c>
      <c r="B98" s="22" t="n">
        <v>46210</v>
      </c>
      <c r="C98" s="23" t="s">
        <v>138</v>
      </c>
      <c r="D98" s="21"/>
      <c r="E98" s="24" t="s">
        <v>139</v>
      </c>
      <c r="F98" s="24" t="s">
        <v>139</v>
      </c>
      <c r="G98" s="14"/>
      <c r="H98" s="14"/>
      <c r="I98" s="14"/>
      <c r="J98" s="14"/>
      <c r="K98" s="25" t="n">
        <f aca="false">IF(OR(I98="",J98="",$G98="",$H98=""),0,IF(AND(I98=$G98,J98=$H98),8,IF(SIGN(I98-J98)=SIGN($G98-$H98),3,0)))</f>
        <v>0</v>
      </c>
      <c r="L98" s="14"/>
      <c r="M98" s="14"/>
      <c r="N98" s="25" t="n">
        <f aca="false">IF(OR(L98="",M98="",$G98="",$H98=""),0,IF(AND(L98=$G98,M98=$H98),8,IF(SIGN(L98-M98)=SIGN($G98-$H98),3,0)))</f>
        <v>0</v>
      </c>
      <c r="O98" s="14"/>
      <c r="P98" s="14"/>
      <c r="Q98" s="25" t="n">
        <f aca="false">IF(OR(O98="",P98="",$G98="",$H98=""),0,IF(AND(O98=$G98,P98=$H98),8,IF(SIGN(O98-P98)=SIGN($G98-$H98),3,0)))</f>
        <v>0</v>
      </c>
      <c r="R98" s="14"/>
      <c r="S98" s="14"/>
      <c r="T98" s="25" t="n">
        <f aca="false">IF(OR(R98="",S98="",$G98="",$H98=""),0,IF(AND(R98=$G98,S98=$H98),8,IF(SIGN(R98-S98)=SIGN($G98-$H98),3,0)))</f>
        <v>0</v>
      </c>
      <c r="U98" s="14"/>
      <c r="V98" s="14"/>
      <c r="W98" s="25" t="n">
        <f aca="false">IF(OR(U98="",V98="",$G98="",$H98=""),0,IF(AND(U98=$G98,V98=$H98),8,IF(SIGN(U98-V98)=SIGN($G98-$H98),3,0)))</f>
        <v>0</v>
      </c>
      <c r="X98" s="14"/>
      <c r="Y98" s="14"/>
      <c r="Z98" s="25" t="n">
        <f aca="false">IF(OR(X98="",Y98="",$G98="",$H98=""),0,IF(AND(X98=$G98,Y98=$H98),8,IF(SIGN(X98-Y98)=SIGN($G98-$H98),3,0)))</f>
        <v>0</v>
      </c>
      <c r="AA98" s="14"/>
      <c r="AB98" s="14"/>
      <c r="AC98" s="25" t="n">
        <f aca="false">IF(OR(AA98="",AB98="",$G98="",$H98=""),0,IF(AND(AA98=$G98,AB98=$H98),8,IF(SIGN(AA98-AB98)=SIGN($G98-$H98),3,0)))</f>
        <v>0</v>
      </c>
      <c r="AD98" s="14"/>
      <c r="AE98" s="14"/>
      <c r="AF98" s="25" t="n">
        <f aca="false">IF(OR(AD98="",AE98="",$G98="",$H98=""),0,IF(AND(AD98=$G98,AE98=$H98),8,IF(SIGN(AD98-AE98)=SIGN($G98-$H98),3,0)))</f>
        <v>0</v>
      </c>
      <c r="AG98" s="14"/>
      <c r="AH98" s="14"/>
      <c r="AI98" s="25" t="n">
        <f aca="false">IF(OR(AG98="",AH98="",$G98="",$H98=""),0,IF(AND(AG98=$G98,AH98=$H98),8,IF(SIGN(AG98-AH98)=SIGN($G98-$H98),3,0)))</f>
        <v>0</v>
      </c>
    </row>
    <row r="99" customFormat="false" ht="15" hidden="false" customHeight="true" outlineLevel="0" collapsed="false">
      <c r="A99" s="21" t="n">
        <v>96</v>
      </c>
      <c r="B99" s="22" t="n">
        <v>46210</v>
      </c>
      <c r="C99" s="23" t="s">
        <v>138</v>
      </c>
      <c r="D99" s="21"/>
      <c r="E99" s="24" t="s">
        <v>139</v>
      </c>
      <c r="F99" s="24" t="s">
        <v>139</v>
      </c>
      <c r="G99" s="14"/>
      <c r="H99" s="14"/>
      <c r="I99" s="14"/>
      <c r="J99" s="14"/>
      <c r="K99" s="25" t="n">
        <f aca="false">IF(OR(I99="",J99="",$G99="",$H99=""),0,IF(AND(I99=$G99,J99=$H99),8,IF(SIGN(I99-J99)=SIGN($G99-$H99),3,0)))</f>
        <v>0</v>
      </c>
      <c r="L99" s="14"/>
      <c r="M99" s="14"/>
      <c r="N99" s="25" t="n">
        <f aca="false">IF(OR(L99="",M99="",$G99="",$H99=""),0,IF(AND(L99=$G99,M99=$H99),8,IF(SIGN(L99-M99)=SIGN($G99-$H99),3,0)))</f>
        <v>0</v>
      </c>
      <c r="O99" s="14"/>
      <c r="P99" s="14"/>
      <c r="Q99" s="25" t="n">
        <f aca="false">IF(OR(O99="",P99="",$G99="",$H99=""),0,IF(AND(O99=$G99,P99=$H99),8,IF(SIGN(O99-P99)=SIGN($G99-$H99),3,0)))</f>
        <v>0</v>
      </c>
      <c r="R99" s="14"/>
      <c r="S99" s="14"/>
      <c r="T99" s="25" t="n">
        <f aca="false">IF(OR(R99="",S99="",$G99="",$H99=""),0,IF(AND(R99=$G99,S99=$H99),8,IF(SIGN(R99-S99)=SIGN($G99-$H99),3,0)))</f>
        <v>0</v>
      </c>
      <c r="U99" s="14"/>
      <c r="V99" s="14"/>
      <c r="W99" s="25" t="n">
        <f aca="false">IF(OR(U99="",V99="",$G99="",$H99=""),0,IF(AND(U99=$G99,V99=$H99),8,IF(SIGN(U99-V99)=SIGN($G99-$H99),3,0)))</f>
        <v>0</v>
      </c>
      <c r="X99" s="14"/>
      <c r="Y99" s="14"/>
      <c r="Z99" s="25" t="n">
        <f aca="false">IF(OR(X99="",Y99="",$G99="",$H99=""),0,IF(AND(X99=$G99,Y99=$H99),8,IF(SIGN(X99-Y99)=SIGN($G99-$H99),3,0)))</f>
        <v>0</v>
      </c>
      <c r="AA99" s="14"/>
      <c r="AB99" s="14"/>
      <c r="AC99" s="25" t="n">
        <f aca="false">IF(OR(AA99="",AB99="",$G99="",$H99=""),0,IF(AND(AA99=$G99,AB99=$H99),8,IF(SIGN(AA99-AB99)=SIGN($G99-$H99),3,0)))</f>
        <v>0</v>
      </c>
      <c r="AD99" s="14"/>
      <c r="AE99" s="14"/>
      <c r="AF99" s="25" t="n">
        <f aca="false">IF(OR(AD99="",AE99="",$G99="",$H99=""),0,IF(AND(AD99=$G99,AE99=$H99),8,IF(SIGN(AD99-AE99)=SIGN($G99-$H99),3,0)))</f>
        <v>0</v>
      </c>
      <c r="AG99" s="14"/>
      <c r="AH99" s="14"/>
      <c r="AI99" s="25" t="n">
        <f aca="false">IF(OR(AG99="",AH99="",$G99="",$H99=""),0,IF(AND(AG99=$G99,AH99=$H99),8,IF(SIGN(AG99-AH99)=SIGN($G99-$H99),3,0)))</f>
        <v>0</v>
      </c>
    </row>
    <row r="100" customFormat="false" ht="15" hidden="false" customHeight="true" outlineLevel="0" collapsed="false">
      <c r="A100" s="21" t="n">
        <v>97</v>
      </c>
      <c r="B100" s="22" t="n">
        <v>46212</v>
      </c>
      <c r="C100" s="23" t="s">
        <v>140</v>
      </c>
      <c r="D100" s="21"/>
      <c r="E100" s="24" t="s">
        <v>139</v>
      </c>
      <c r="F100" s="24" t="s">
        <v>139</v>
      </c>
      <c r="G100" s="14"/>
      <c r="H100" s="14"/>
      <c r="I100" s="14"/>
      <c r="J100" s="14"/>
      <c r="K100" s="25" t="n">
        <f aca="false">IF(OR(I100="",J100="",$G100="",$H100=""),0,IF(AND(I100=$G100,J100=$H100),8,IF(SIGN(I100-J100)=SIGN($G100-$H100),3,0)))</f>
        <v>0</v>
      </c>
      <c r="L100" s="14"/>
      <c r="M100" s="14"/>
      <c r="N100" s="25" t="n">
        <f aca="false">IF(OR(L100="",M100="",$G100="",$H100=""),0,IF(AND(L100=$G100,M100=$H100),8,IF(SIGN(L100-M100)=SIGN($G100-$H100),3,0)))</f>
        <v>0</v>
      </c>
      <c r="O100" s="14"/>
      <c r="P100" s="14"/>
      <c r="Q100" s="25" t="n">
        <f aca="false">IF(OR(O100="",P100="",$G100="",$H100=""),0,IF(AND(O100=$G100,P100=$H100),8,IF(SIGN(O100-P100)=SIGN($G100-$H100),3,0)))</f>
        <v>0</v>
      </c>
      <c r="R100" s="14"/>
      <c r="S100" s="14"/>
      <c r="T100" s="25" t="n">
        <f aca="false">IF(OR(R100="",S100="",$G100="",$H100=""),0,IF(AND(R100=$G100,S100=$H100),8,IF(SIGN(R100-S100)=SIGN($G100-$H100),3,0)))</f>
        <v>0</v>
      </c>
      <c r="U100" s="14"/>
      <c r="V100" s="14"/>
      <c r="W100" s="25" t="n">
        <f aca="false">IF(OR(U100="",V100="",$G100="",$H100=""),0,IF(AND(U100=$G100,V100=$H100),8,IF(SIGN(U100-V100)=SIGN($G100-$H100),3,0)))</f>
        <v>0</v>
      </c>
      <c r="X100" s="14"/>
      <c r="Y100" s="14"/>
      <c r="Z100" s="25" t="n">
        <f aca="false">IF(OR(X100="",Y100="",$G100="",$H100=""),0,IF(AND(X100=$G100,Y100=$H100),8,IF(SIGN(X100-Y100)=SIGN($G100-$H100),3,0)))</f>
        <v>0</v>
      </c>
      <c r="AA100" s="14"/>
      <c r="AB100" s="14"/>
      <c r="AC100" s="25" t="n">
        <f aca="false">IF(OR(AA100="",AB100="",$G100="",$H100=""),0,IF(AND(AA100=$G100,AB100=$H100),8,IF(SIGN(AA100-AB100)=SIGN($G100-$H100),3,0)))</f>
        <v>0</v>
      </c>
      <c r="AD100" s="14"/>
      <c r="AE100" s="14"/>
      <c r="AF100" s="25" t="n">
        <f aca="false">IF(OR(AD100="",AE100="",$G100="",$H100=""),0,IF(AND(AD100=$G100,AE100=$H100),8,IF(SIGN(AD100-AE100)=SIGN($G100-$H100),3,0)))</f>
        <v>0</v>
      </c>
      <c r="AG100" s="14"/>
      <c r="AH100" s="14"/>
      <c r="AI100" s="25" t="n">
        <f aca="false">IF(OR(AG100="",AH100="",$G100="",$H100=""),0,IF(AND(AG100=$G100,AH100=$H100),8,IF(SIGN(AG100-AH100)=SIGN($G100-$H100),3,0)))</f>
        <v>0</v>
      </c>
    </row>
    <row r="101" customFormat="false" ht="15" hidden="false" customHeight="true" outlineLevel="0" collapsed="false">
      <c r="A101" s="21" t="n">
        <v>98</v>
      </c>
      <c r="B101" s="22" t="n">
        <v>46213</v>
      </c>
      <c r="C101" s="23" t="s">
        <v>140</v>
      </c>
      <c r="D101" s="21"/>
      <c r="E101" s="24" t="s">
        <v>139</v>
      </c>
      <c r="F101" s="24" t="s">
        <v>139</v>
      </c>
      <c r="G101" s="14"/>
      <c r="H101" s="14"/>
      <c r="I101" s="14"/>
      <c r="J101" s="14"/>
      <c r="K101" s="25" t="n">
        <f aca="false">IF(OR(I101="",J101="",$G101="",$H101=""),0,IF(AND(I101=$G101,J101=$H101),8,IF(SIGN(I101-J101)=SIGN($G101-$H101),3,0)))</f>
        <v>0</v>
      </c>
      <c r="L101" s="14"/>
      <c r="M101" s="14"/>
      <c r="N101" s="25" t="n">
        <f aca="false">IF(OR(L101="",M101="",$G101="",$H101=""),0,IF(AND(L101=$G101,M101=$H101),8,IF(SIGN(L101-M101)=SIGN($G101-$H101),3,0)))</f>
        <v>0</v>
      </c>
      <c r="O101" s="14"/>
      <c r="P101" s="14"/>
      <c r="Q101" s="25" t="n">
        <f aca="false">IF(OR(O101="",P101="",$G101="",$H101=""),0,IF(AND(O101=$G101,P101=$H101),8,IF(SIGN(O101-P101)=SIGN($G101-$H101),3,0)))</f>
        <v>0</v>
      </c>
      <c r="R101" s="14"/>
      <c r="S101" s="14"/>
      <c r="T101" s="25" t="n">
        <f aca="false">IF(OR(R101="",S101="",$G101="",$H101=""),0,IF(AND(R101=$G101,S101=$H101),8,IF(SIGN(R101-S101)=SIGN($G101-$H101),3,0)))</f>
        <v>0</v>
      </c>
      <c r="U101" s="14"/>
      <c r="V101" s="14"/>
      <c r="W101" s="25" t="n">
        <f aca="false">IF(OR(U101="",V101="",$G101="",$H101=""),0,IF(AND(U101=$G101,V101=$H101),8,IF(SIGN(U101-V101)=SIGN($G101-$H101),3,0)))</f>
        <v>0</v>
      </c>
      <c r="X101" s="14"/>
      <c r="Y101" s="14"/>
      <c r="Z101" s="25" t="n">
        <f aca="false">IF(OR(X101="",Y101="",$G101="",$H101=""),0,IF(AND(X101=$G101,Y101=$H101),8,IF(SIGN(X101-Y101)=SIGN($G101-$H101),3,0)))</f>
        <v>0</v>
      </c>
      <c r="AA101" s="14"/>
      <c r="AB101" s="14"/>
      <c r="AC101" s="25" t="n">
        <f aca="false">IF(OR(AA101="",AB101="",$G101="",$H101=""),0,IF(AND(AA101=$G101,AB101=$H101),8,IF(SIGN(AA101-AB101)=SIGN($G101-$H101),3,0)))</f>
        <v>0</v>
      </c>
      <c r="AD101" s="14"/>
      <c r="AE101" s="14"/>
      <c r="AF101" s="25" t="n">
        <f aca="false">IF(OR(AD101="",AE101="",$G101="",$H101=""),0,IF(AND(AD101=$G101,AE101=$H101),8,IF(SIGN(AD101-AE101)=SIGN($G101-$H101),3,0)))</f>
        <v>0</v>
      </c>
      <c r="AG101" s="14"/>
      <c r="AH101" s="14"/>
      <c r="AI101" s="25" t="n">
        <f aca="false">IF(OR(AG101="",AH101="",$G101="",$H101=""),0,IF(AND(AG101=$G101,AH101=$H101),8,IF(SIGN(AG101-AH101)=SIGN($G101-$H101),3,0)))</f>
        <v>0</v>
      </c>
    </row>
    <row r="102" customFormat="false" ht="15" hidden="false" customHeight="true" outlineLevel="0" collapsed="false">
      <c r="A102" s="21" t="n">
        <v>99</v>
      </c>
      <c r="B102" s="22" t="n">
        <v>46214</v>
      </c>
      <c r="C102" s="23" t="s">
        <v>140</v>
      </c>
      <c r="D102" s="21"/>
      <c r="E102" s="24" t="s">
        <v>139</v>
      </c>
      <c r="F102" s="24" t="s">
        <v>139</v>
      </c>
      <c r="G102" s="14"/>
      <c r="H102" s="14"/>
      <c r="I102" s="14"/>
      <c r="J102" s="14"/>
      <c r="K102" s="25" t="n">
        <f aca="false">IF(OR(I102="",J102="",$G102="",$H102=""),0,IF(AND(I102=$G102,J102=$H102),8,IF(SIGN(I102-J102)=SIGN($G102-$H102),3,0)))</f>
        <v>0</v>
      </c>
      <c r="L102" s="14"/>
      <c r="M102" s="14"/>
      <c r="N102" s="25" t="n">
        <f aca="false">IF(OR(L102="",M102="",$G102="",$H102=""),0,IF(AND(L102=$G102,M102=$H102),8,IF(SIGN(L102-M102)=SIGN($G102-$H102),3,0)))</f>
        <v>0</v>
      </c>
      <c r="O102" s="14"/>
      <c r="P102" s="14"/>
      <c r="Q102" s="25" t="n">
        <f aca="false">IF(OR(O102="",P102="",$G102="",$H102=""),0,IF(AND(O102=$G102,P102=$H102),8,IF(SIGN(O102-P102)=SIGN($G102-$H102),3,0)))</f>
        <v>0</v>
      </c>
      <c r="R102" s="14"/>
      <c r="S102" s="14"/>
      <c r="T102" s="25" t="n">
        <f aca="false">IF(OR(R102="",S102="",$G102="",$H102=""),0,IF(AND(R102=$G102,S102=$H102),8,IF(SIGN(R102-S102)=SIGN($G102-$H102),3,0)))</f>
        <v>0</v>
      </c>
      <c r="U102" s="14"/>
      <c r="V102" s="14"/>
      <c r="W102" s="25" t="n">
        <f aca="false">IF(OR(U102="",V102="",$G102="",$H102=""),0,IF(AND(U102=$G102,V102=$H102),8,IF(SIGN(U102-V102)=SIGN($G102-$H102),3,0)))</f>
        <v>0</v>
      </c>
      <c r="X102" s="14"/>
      <c r="Y102" s="14"/>
      <c r="Z102" s="25" t="n">
        <f aca="false">IF(OR(X102="",Y102="",$G102="",$H102=""),0,IF(AND(X102=$G102,Y102=$H102),8,IF(SIGN(X102-Y102)=SIGN($G102-$H102),3,0)))</f>
        <v>0</v>
      </c>
      <c r="AA102" s="14"/>
      <c r="AB102" s="14"/>
      <c r="AC102" s="25" t="n">
        <f aca="false">IF(OR(AA102="",AB102="",$G102="",$H102=""),0,IF(AND(AA102=$G102,AB102=$H102),8,IF(SIGN(AA102-AB102)=SIGN($G102-$H102),3,0)))</f>
        <v>0</v>
      </c>
      <c r="AD102" s="14"/>
      <c r="AE102" s="14"/>
      <c r="AF102" s="25" t="n">
        <f aca="false">IF(OR(AD102="",AE102="",$G102="",$H102=""),0,IF(AND(AD102=$G102,AE102=$H102),8,IF(SIGN(AD102-AE102)=SIGN($G102-$H102),3,0)))</f>
        <v>0</v>
      </c>
      <c r="AG102" s="14"/>
      <c r="AH102" s="14"/>
      <c r="AI102" s="25" t="n">
        <f aca="false">IF(OR(AG102="",AH102="",$G102="",$H102=""),0,IF(AND(AG102=$G102,AH102=$H102),8,IF(SIGN(AG102-AH102)=SIGN($G102-$H102),3,0)))</f>
        <v>0</v>
      </c>
    </row>
    <row r="103" customFormat="false" ht="15" hidden="false" customHeight="true" outlineLevel="0" collapsed="false">
      <c r="A103" s="21" t="n">
        <v>100</v>
      </c>
      <c r="B103" s="22" t="n">
        <v>46214</v>
      </c>
      <c r="C103" s="23" t="s">
        <v>140</v>
      </c>
      <c r="D103" s="21"/>
      <c r="E103" s="24" t="s">
        <v>139</v>
      </c>
      <c r="F103" s="24" t="s">
        <v>139</v>
      </c>
      <c r="G103" s="14"/>
      <c r="H103" s="14"/>
      <c r="I103" s="14"/>
      <c r="J103" s="14"/>
      <c r="K103" s="25" t="n">
        <f aca="false">IF(OR(I103="",J103="",$G103="",$H103=""),0,IF(AND(I103=$G103,J103=$H103),8,IF(SIGN(I103-J103)=SIGN($G103-$H103),3,0)))</f>
        <v>0</v>
      </c>
      <c r="L103" s="14"/>
      <c r="M103" s="14"/>
      <c r="N103" s="25" t="n">
        <f aca="false">IF(OR(L103="",M103="",$G103="",$H103=""),0,IF(AND(L103=$G103,M103=$H103),8,IF(SIGN(L103-M103)=SIGN($G103-$H103),3,0)))</f>
        <v>0</v>
      </c>
      <c r="O103" s="14"/>
      <c r="P103" s="14"/>
      <c r="Q103" s="25" t="n">
        <f aca="false">IF(OR(O103="",P103="",$G103="",$H103=""),0,IF(AND(O103=$G103,P103=$H103),8,IF(SIGN(O103-P103)=SIGN($G103-$H103),3,0)))</f>
        <v>0</v>
      </c>
      <c r="R103" s="14"/>
      <c r="S103" s="14"/>
      <c r="T103" s="25" t="n">
        <f aca="false">IF(OR(R103="",S103="",$G103="",$H103=""),0,IF(AND(R103=$G103,S103=$H103),8,IF(SIGN(R103-S103)=SIGN($G103-$H103),3,0)))</f>
        <v>0</v>
      </c>
      <c r="U103" s="14"/>
      <c r="V103" s="14"/>
      <c r="W103" s="25" t="n">
        <f aca="false">IF(OR(U103="",V103="",$G103="",$H103=""),0,IF(AND(U103=$G103,V103=$H103),8,IF(SIGN(U103-V103)=SIGN($G103-$H103),3,0)))</f>
        <v>0</v>
      </c>
      <c r="X103" s="14"/>
      <c r="Y103" s="14"/>
      <c r="Z103" s="25" t="n">
        <f aca="false">IF(OR(X103="",Y103="",$G103="",$H103=""),0,IF(AND(X103=$G103,Y103=$H103),8,IF(SIGN(X103-Y103)=SIGN($G103-$H103),3,0)))</f>
        <v>0</v>
      </c>
      <c r="AA103" s="14"/>
      <c r="AB103" s="14"/>
      <c r="AC103" s="25" t="n">
        <f aca="false">IF(OR(AA103="",AB103="",$G103="",$H103=""),0,IF(AND(AA103=$G103,AB103=$H103),8,IF(SIGN(AA103-AB103)=SIGN($G103-$H103),3,0)))</f>
        <v>0</v>
      </c>
      <c r="AD103" s="14"/>
      <c r="AE103" s="14"/>
      <c r="AF103" s="25" t="n">
        <f aca="false">IF(OR(AD103="",AE103="",$G103="",$H103=""),0,IF(AND(AD103=$G103,AE103=$H103),8,IF(SIGN(AD103-AE103)=SIGN($G103-$H103),3,0)))</f>
        <v>0</v>
      </c>
      <c r="AG103" s="14"/>
      <c r="AH103" s="14"/>
      <c r="AI103" s="25" t="n">
        <f aca="false">IF(OR(AG103="",AH103="",$G103="",$H103=""),0,IF(AND(AG103=$G103,AH103=$H103),8,IF(SIGN(AG103-AH103)=SIGN($G103-$H103),3,0)))</f>
        <v>0</v>
      </c>
    </row>
    <row r="104" customFormat="false" ht="15" hidden="false" customHeight="true" outlineLevel="0" collapsed="false">
      <c r="A104" s="21" t="n">
        <v>101</v>
      </c>
      <c r="B104" s="22" t="n">
        <v>46217</v>
      </c>
      <c r="C104" s="23" t="s">
        <v>141</v>
      </c>
      <c r="D104" s="21"/>
      <c r="E104" s="24" t="s">
        <v>139</v>
      </c>
      <c r="F104" s="24" t="s">
        <v>139</v>
      </c>
      <c r="G104" s="14"/>
      <c r="H104" s="14"/>
      <c r="I104" s="14"/>
      <c r="J104" s="14"/>
      <c r="K104" s="25" t="n">
        <f aca="false">IF(OR(I104="",J104="",$G104="",$H104=""),0,IF(AND(I104=$G104,J104=$H104),8,IF(SIGN(I104-J104)=SIGN($G104-$H104),3,0)))</f>
        <v>0</v>
      </c>
      <c r="L104" s="14"/>
      <c r="M104" s="14"/>
      <c r="N104" s="25" t="n">
        <f aca="false">IF(OR(L104="",M104="",$G104="",$H104=""),0,IF(AND(L104=$G104,M104=$H104),8,IF(SIGN(L104-M104)=SIGN($G104-$H104),3,0)))</f>
        <v>0</v>
      </c>
      <c r="O104" s="14"/>
      <c r="P104" s="14"/>
      <c r="Q104" s="25" t="n">
        <f aca="false">IF(OR(O104="",P104="",$G104="",$H104=""),0,IF(AND(O104=$G104,P104=$H104),8,IF(SIGN(O104-P104)=SIGN($G104-$H104),3,0)))</f>
        <v>0</v>
      </c>
      <c r="R104" s="14"/>
      <c r="S104" s="14"/>
      <c r="T104" s="25" t="n">
        <f aca="false">IF(OR(R104="",S104="",$G104="",$H104=""),0,IF(AND(R104=$G104,S104=$H104),8,IF(SIGN(R104-S104)=SIGN($G104-$H104),3,0)))</f>
        <v>0</v>
      </c>
      <c r="U104" s="14"/>
      <c r="V104" s="14"/>
      <c r="W104" s="25" t="n">
        <f aca="false">IF(OR(U104="",V104="",$G104="",$H104=""),0,IF(AND(U104=$G104,V104=$H104),8,IF(SIGN(U104-V104)=SIGN($G104-$H104),3,0)))</f>
        <v>0</v>
      </c>
      <c r="X104" s="14"/>
      <c r="Y104" s="14"/>
      <c r="Z104" s="25" t="n">
        <f aca="false">IF(OR(X104="",Y104="",$G104="",$H104=""),0,IF(AND(X104=$G104,Y104=$H104),8,IF(SIGN(X104-Y104)=SIGN($G104-$H104),3,0)))</f>
        <v>0</v>
      </c>
      <c r="AA104" s="14"/>
      <c r="AB104" s="14"/>
      <c r="AC104" s="25" t="n">
        <f aca="false">IF(OR(AA104="",AB104="",$G104="",$H104=""),0,IF(AND(AA104=$G104,AB104=$H104),8,IF(SIGN(AA104-AB104)=SIGN($G104-$H104),3,0)))</f>
        <v>0</v>
      </c>
      <c r="AD104" s="14"/>
      <c r="AE104" s="14"/>
      <c r="AF104" s="25" t="n">
        <f aca="false">IF(OR(AD104="",AE104="",$G104="",$H104=""),0,IF(AND(AD104=$G104,AE104=$H104),8,IF(SIGN(AD104-AE104)=SIGN($G104-$H104),3,0)))</f>
        <v>0</v>
      </c>
      <c r="AG104" s="14"/>
      <c r="AH104" s="14"/>
      <c r="AI104" s="25" t="n">
        <f aca="false">IF(OR(AG104="",AH104="",$G104="",$H104=""),0,IF(AND(AG104=$G104,AH104=$H104),8,IF(SIGN(AG104-AH104)=SIGN($G104-$H104),3,0)))</f>
        <v>0</v>
      </c>
    </row>
    <row r="105" customFormat="false" ht="15" hidden="false" customHeight="true" outlineLevel="0" collapsed="false">
      <c r="A105" s="21" t="n">
        <v>102</v>
      </c>
      <c r="B105" s="22" t="n">
        <v>46218</v>
      </c>
      <c r="C105" s="23" t="s">
        <v>141</v>
      </c>
      <c r="D105" s="21"/>
      <c r="E105" s="24" t="s">
        <v>139</v>
      </c>
      <c r="F105" s="24" t="s">
        <v>139</v>
      </c>
      <c r="G105" s="14"/>
      <c r="H105" s="14"/>
      <c r="I105" s="14"/>
      <c r="J105" s="14"/>
      <c r="K105" s="25" t="n">
        <f aca="false">IF(OR(I105="",J105="",$G105="",$H105=""),0,IF(AND(I105=$G105,J105=$H105),8,IF(SIGN(I105-J105)=SIGN($G105-$H105),3,0)))</f>
        <v>0</v>
      </c>
      <c r="L105" s="14"/>
      <c r="M105" s="14"/>
      <c r="N105" s="25" t="n">
        <f aca="false">IF(OR(L105="",M105="",$G105="",$H105=""),0,IF(AND(L105=$G105,M105=$H105),8,IF(SIGN(L105-M105)=SIGN($G105-$H105),3,0)))</f>
        <v>0</v>
      </c>
      <c r="O105" s="14"/>
      <c r="P105" s="14"/>
      <c r="Q105" s="25" t="n">
        <f aca="false">IF(OR(O105="",P105="",$G105="",$H105=""),0,IF(AND(O105=$G105,P105=$H105),8,IF(SIGN(O105-P105)=SIGN($G105-$H105),3,0)))</f>
        <v>0</v>
      </c>
      <c r="R105" s="14"/>
      <c r="S105" s="14"/>
      <c r="T105" s="25" t="n">
        <f aca="false">IF(OR(R105="",S105="",$G105="",$H105=""),0,IF(AND(R105=$G105,S105=$H105),8,IF(SIGN(R105-S105)=SIGN($G105-$H105),3,0)))</f>
        <v>0</v>
      </c>
      <c r="U105" s="14"/>
      <c r="V105" s="14"/>
      <c r="W105" s="25" t="n">
        <f aca="false">IF(OR(U105="",V105="",$G105="",$H105=""),0,IF(AND(U105=$G105,V105=$H105),8,IF(SIGN(U105-V105)=SIGN($G105-$H105),3,0)))</f>
        <v>0</v>
      </c>
      <c r="X105" s="14"/>
      <c r="Y105" s="14"/>
      <c r="Z105" s="25" t="n">
        <f aca="false">IF(OR(X105="",Y105="",$G105="",$H105=""),0,IF(AND(X105=$G105,Y105=$H105),8,IF(SIGN(X105-Y105)=SIGN($G105-$H105),3,0)))</f>
        <v>0</v>
      </c>
      <c r="AA105" s="14"/>
      <c r="AB105" s="14"/>
      <c r="AC105" s="25" t="n">
        <f aca="false">IF(OR(AA105="",AB105="",$G105="",$H105=""),0,IF(AND(AA105=$G105,AB105=$H105),8,IF(SIGN(AA105-AB105)=SIGN($G105-$H105),3,0)))</f>
        <v>0</v>
      </c>
      <c r="AD105" s="14"/>
      <c r="AE105" s="14"/>
      <c r="AF105" s="25" t="n">
        <f aca="false">IF(OR(AD105="",AE105="",$G105="",$H105=""),0,IF(AND(AD105=$G105,AE105=$H105),8,IF(SIGN(AD105-AE105)=SIGN($G105-$H105),3,0)))</f>
        <v>0</v>
      </c>
      <c r="AG105" s="14"/>
      <c r="AH105" s="14"/>
      <c r="AI105" s="25" t="n">
        <f aca="false">IF(OR(AG105="",AH105="",$G105="",$H105=""),0,IF(AND(AG105=$G105,AH105=$H105),8,IF(SIGN(AG105-AH105)=SIGN($G105-$H105),3,0)))</f>
        <v>0</v>
      </c>
    </row>
    <row r="106" customFormat="false" ht="15" hidden="false" customHeight="true" outlineLevel="0" collapsed="false">
      <c r="A106" s="21" t="n">
        <v>103</v>
      </c>
      <c r="B106" s="22" t="n">
        <v>46221</v>
      </c>
      <c r="C106" s="23" t="s">
        <v>142</v>
      </c>
      <c r="D106" s="21"/>
      <c r="E106" s="24" t="s">
        <v>143</v>
      </c>
      <c r="F106" s="24" t="s">
        <v>144</v>
      </c>
      <c r="G106" s="14"/>
      <c r="H106" s="14"/>
      <c r="I106" s="14"/>
      <c r="J106" s="14"/>
      <c r="K106" s="25" t="n">
        <f aca="false">IF(OR(I106="",J106="",$G106="",$H106=""),0,IF(AND(I106=$G106,J106=$H106),8,IF(SIGN(I106-J106)=SIGN($G106-$H106),3,0)))</f>
        <v>0</v>
      </c>
      <c r="L106" s="14"/>
      <c r="M106" s="14"/>
      <c r="N106" s="25" t="n">
        <f aca="false">IF(OR(L106="",M106="",$G106="",$H106=""),0,IF(AND(L106=$G106,M106=$H106),8,IF(SIGN(L106-M106)=SIGN($G106-$H106),3,0)))</f>
        <v>0</v>
      </c>
      <c r="O106" s="14"/>
      <c r="P106" s="14"/>
      <c r="Q106" s="25" t="n">
        <f aca="false">IF(OR(O106="",P106="",$G106="",$H106=""),0,IF(AND(O106=$G106,P106=$H106),8,IF(SIGN(O106-P106)=SIGN($G106-$H106),3,0)))</f>
        <v>0</v>
      </c>
      <c r="R106" s="14"/>
      <c r="S106" s="14"/>
      <c r="T106" s="25" t="n">
        <f aca="false">IF(OR(R106="",S106="",$G106="",$H106=""),0,IF(AND(R106=$G106,S106=$H106),8,IF(SIGN(R106-S106)=SIGN($G106-$H106),3,0)))</f>
        <v>0</v>
      </c>
      <c r="U106" s="14"/>
      <c r="V106" s="14"/>
      <c r="W106" s="25" t="n">
        <f aca="false">IF(OR(U106="",V106="",$G106="",$H106=""),0,IF(AND(U106=$G106,V106=$H106),8,IF(SIGN(U106-V106)=SIGN($G106-$H106),3,0)))</f>
        <v>0</v>
      </c>
      <c r="X106" s="14"/>
      <c r="Y106" s="14"/>
      <c r="Z106" s="25" t="n">
        <f aca="false">IF(OR(X106="",Y106="",$G106="",$H106=""),0,IF(AND(X106=$G106,Y106=$H106),8,IF(SIGN(X106-Y106)=SIGN($G106-$H106),3,0)))</f>
        <v>0</v>
      </c>
      <c r="AA106" s="14"/>
      <c r="AB106" s="14"/>
      <c r="AC106" s="25" t="n">
        <f aca="false">IF(OR(AA106="",AB106="",$G106="",$H106=""),0,IF(AND(AA106=$G106,AB106=$H106),8,IF(SIGN(AA106-AB106)=SIGN($G106-$H106),3,0)))</f>
        <v>0</v>
      </c>
      <c r="AD106" s="14"/>
      <c r="AE106" s="14"/>
      <c r="AF106" s="25" t="n">
        <f aca="false">IF(OR(AD106="",AE106="",$G106="",$H106=""),0,IF(AND(AD106=$G106,AE106=$H106),8,IF(SIGN(AD106-AE106)=SIGN($G106-$H106),3,0)))</f>
        <v>0</v>
      </c>
      <c r="AG106" s="14"/>
      <c r="AH106" s="14"/>
      <c r="AI106" s="25" t="n">
        <f aca="false">IF(OR(AG106="",AH106="",$G106="",$H106=""),0,IF(AND(AG106=$G106,AH106=$H106),8,IF(SIGN(AG106-AH106)=SIGN($G106-$H106),3,0)))</f>
        <v>0</v>
      </c>
    </row>
    <row r="107" customFormat="false" ht="15" hidden="false" customHeight="true" outlineLevel="0" collapsed="false">
      <c r="A107" s="21" t="n">
        <v>104</v>
      </c>
      <c r="B107" s="22" t="n">
        <v>46222</v>
      </c>
      <c r="C107" s="23" t="s">
        <v>145</v>
      </c>
      <c r="D107" s="21"/>
      <c r="E107" s="24" t="s">
        <v>146</v>
      </c>
      <c r="F107" s="24" t="s">
        <v>147</v>
      </c>
      <c r="G107" s="14"/>
      <c r="H107" s="14"/>
      <c r="I107" s="14"/>
      <c r="J107" s="14"/>
      <c r="K107" s="25" t="n">
        <f aca="false">IF(OR(I107="",J107="",$G107="",$H107=""),0,IF(AND(I107=$G107,J107=$H107),8,IF(SIGN(I107-J107)=SIGN($G107-$H107),3,0)))</f>
        <v>0</v>
      </c>
      <c r="L107" s="14"/>
      <c r="M107" s="14"/>
      <c r="N107" s="25" t="n">
        <f aca="false">IF(OR(L107="",M107="",$G107="",$H107=""),0,IF(AND(L107=$G107,M107=$H107),8,IF(SIGN(L107-M107)=SIGN($G107-$H107),3,0)))</f>
        <v>0</v>
      </c>
      <c r="O107" s="14"/>
      <c r="P107" s="14"/>
      <c r="Q107" s="25" t="n">
        <f aca="false">IF(OR(O107="",P107="",$G107="",$H107=""),0,IF(AND(O107=$G107,P107=$H107),8,IF(SIGN(O107-P107)=SIGN($G107-$H107),3,0)))</f>
        <v>0</v>
      </c>
      <c r="R107" s="14"/>
      <c r="S107" s="14"/>
      <c r="T107" s="25" t="n">
        <f aca="false">IF(OR(R107="",S107="",$G107="",$H107=""),0,IF(AND(R107=$G107,S107=$H107),8,IF(SIGN(R107-S107)=SIGN($G107-$H107),3,0)))</f>
        <v>0</v>
      </c>
      <c r="U107" s="14"/>
      <c r="V107" s="14"/>
      <c r="W107" s="25" t="n">
        <f aca="false">IF(OR(U107="",V107="",$G107="",$H107=""),0,IF(AND(U107=$G107,V107=$H107),8,IF(SIGN(U107-V107)=SIGN($G107-$H107),3,0)))</f>
        <v>0</v>
      </c>
      <c r="X107" s="14"/>
      <c r="Y107" s="14"/>
      <c r="Z107" s="25" t="n">
        <f aca="false">IF(OR(X107="",Y107="",$G107="",$H107=""),0,IF(AND(X107=$G107,Y107=$H107),8,IF(SIGN(X107-Y107)=SIGN($G107-$H107),3,0)))</f>
        <v>0</v>
      </c>
      <c r="AA107" s="14"/>
      <c r="AB107" s="14"/>
      <c r="AC107" s="25" t="n">
        <f aca="false">IF(OR(AA107="",AB107="",$G107="",$H107=""),0,IF(AND(AA107=$G107,AB107=$H107),8,IF(SIGN(AA107-AB107)=SIGN($G107-$H107),3,0)))</f>
        <v>0</v>
      </c>
      <c r="AD107" s="14"/>
      <c r="AE107" s="14"/>
      <c r="AF107" s="25" t="n">
        <f aca="false">IF(OR(AD107="",AE107="",$G107="",$H107=""),0,IF(AND(AD107=$G107,AE107=$H107),8,IF(SIGN(AD107-AE107)=SIGN($G107-$H107),3,0)))</f>
        <v>0</v>
      </c>
      <c r="AG107" s="14"/>
      <c r="AH107" s="14"/>
      <c r="AI107" s="25" t="n">
        <f aca="false">IF(OR(AG107="",AH107="",$G107="",$H107=""),0,IF(AND(AG107=$G107,AH107=$H107),8,IF(SIGN(AG107-AH107)=SIGN($G107-$H107),3,0)))</f>
        <v>0</v>
      </c>
    </row>
  </sheetData>
  <mergeCells count="11">
    <mergeCell ref="A1:AF1"/>
    <mergeCell ref="A2:H2"/>
    <mergeCell ref="I2:K2"/>
    <mergeCell ref="L2:N2"/>
    <mergeCell ref="O2:Q2"/>
    <mergeCell ref="R2:T2"/>
    <mergeCell ref="U2:W2"/>
    <mergeCell ref="X2:Z2"/>
    <mergeCell ref="AA2:AC2"/>
    <mergeCell ref="AD2:AF2"/>
    <mergeCell ref="AG2:A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6" min="5" style="0" width="19"/>
    <col collapsed="false" customWidth="true" hidden="false" outlineLevel="0" max="7" min="7" style="0" width="22"/>
    <col collapsed="false" customWidth="true" hidden="false" outlineLevel="0" max="8" min="8" style="0" width="12"/>
  </cols>
  <sheetData>
    <row r="1" customFormat="false" ht="24" hidden="false" customHeight="true" outlineLevel="0" collapsed="false">
      <c r="A1" s="4" t="s">
        <v>148</v>
      </c>
      <c r="B1" s="4"/>
      <c r="C1" s="4"/>
      <c r="D1" s="4"/>
      <c r="E1" s="4"/>
      <c r="F1" s="4"/>
      <c r="G1" s="4"/>
      <c r="H1" s="4"/>
    </row>
    <row r="2" customFormat="false" ht="26.25" hidden="false" customHeight="true" outlineLevel="0" collapsed="false">
      <c r="A2" s="7" t="s">
        <v>33</v>
      </c>
      <c r="B2" s="7" t="s">
        <v>34</v>
      </c>
      <c r="C2" s="7" t="s">
        <v>35</v>
      </c>
      <c r="D2" s="7" t="s">
        <v>36</v>
      </c>
      <c r="E2" s="7" t="s">
        <v>37</v>
      </c>
      <c r="F2" s="7" t="s">
        <v>38</v>
      </c>
      <c r="G2" s="7" t="s">
        <v>149</v>
      </c>
      <c r="H2" s="7" t="s">
        <v>150</v>
      </c>
    </row>
    <row r="3" customFormat="false" ht="15" hidden="false" customHeight="true" outlineLevel="0" collapsed="false">
      <c r="A3" s="10" t="n">
        <v>1</v>
      </c>
      <c r="B3" s="11" t="n">
        <v>46184</v>
      </c>
      <c r="C3" s="12" t="s">
        <v>45</v>
      </c>
      <c r="D3" s="10" t="s">
        <v>46</v>
      </c>
      <c r="E3" s="13" t="s">
        <v>47</v>
      </c>
      <c r="F3" s="13" t="s">
        <v>48</v>
      </c>
      <c r="G3" s="26" t="s">
        <v>151</v>
      </c>
      <c r="H3" s="12" t="s">
        <v>152</v>
      </c>
    </row>
    <row r="4" customFormat="false" ht="15" hidden="false" customHeight="true" outlineLevel="0" collapsed="false">
      <c r="A4" s="16" t="n">
        <v>2</v>
      </c>
      <c r="B4" s="17" t="n">
        <v>46184</v>
      </c>
      <c r="C4" s="18" t="s">
        <v>45</v>
      </c>
      <c r="D4" s="16" t="s">
        <v>46</v>
      </c>
      <c r="E4" s="19" t="s">
        <v>49</v>
      </c>
      <c r="F4" s="19" t="s">
        <v>50</v>
      </c>
      <c r="G4" s="27" t="s">
        <v>153</v>
      </c>
      <c r="H4" s="18" t="s">
        <v>154</v>
      </c>
    </row>
    <row r="5" customFormat="false" ht="15" hidden="false" customHeight="true" outlineLevel="0" collapsed="false">
      <c r="A5" s="10" t="n">
        <v>3</v>
      </c>
      <c r="B5" s="11" t="n">
        <v>46185</v>
      </c>
      <c r="C5" s="12" t="s">
        <v>45</v>
      </c>
      <c r="D5" s="10" t="s">
        <v>51</v>
      </c>
      <c r="E5" s="13" t="s">
        <v>52</v>
      </c>
      <c r="F5" s="13" t="s">
        <v>53</v>
      </c>
      <c r="G5" s="26" t="s">
        <v>155</v>
      </c>
      <c r="H5" s="12" t="s">
        <v>152</v>
      </c>
    </row>
    <row r="6" customFormat="false" ht="15" hidden="false" customHeight="true" outlineLevel="0" collapsed="false">
      <c r="A6" s="16" t="n">
        <v>4</v>
      </c>
      <c r="B6" s="17" t="n">
        <v>46185</v>
      </c>
      <c r="C6" s="18" t="s">
        <v>45</v>
      </c>
      <c r="D6" s="16" t="s">
        <v>54</v>
      </c>
      <c r="E6" s="19" t="s">
        <v>55</v>
      </c>
      <c r="F6" s="19" t="s">
        <v>56</v>
      </c>
      <c r="G6" s="27" t="s">
        <v>156</v>
      </c>
      <c r="H6" s="18" t="s">
        <v>157</v>
      </c>
    </row>
    <row r="7" customFormat="false" ht="15" hidden="false" customHeight="true" outlineLevel="0" collapsed="false">
      <c r="A7" s="10" t="n">
        <v>5</v>
      </c>
      <c r="B7" s="11" t="n">
        <v>46186</v>
      </c>
      <c r="C7" s="12" t="s">
        <v>45</v>
      </c>
      <c r="D7" s="10" t="s">
        <v>51</v>
      </c>
      <c r="E7" s="13" t="s">
        <v>57</v>
      </c>
      <c r="F7" s="13" t="s">
        <v>58</v>
      </c>
      <c r="G7" s="26" t="s">
        <v>158</v>
      </c>
      <c r="H7" s="12" t="s">
        <v>152</v>
      </c>
    </row>
    <row r="8" customFormat="false" ht="15" hidden="false" customHeight="true" outlineLevel="0" collapsed="false">
      <c r="A8" s="16" t="n">
        <v>6</v>
      </c>
      <c r="B8" s="17" t="n">
        <v>46186</v>
      </c>
      <c r="C8" s="18" t="s">
        <v>45</v>
      </c>
      <c r="D8" s="16" t="s">
        <v>59</v>
      </c>
      <c r="E8" s="19" t="s">
        <v>60</v>
      </c>
      <c r="F8" s="19" t="s">
        <v>61</v>
      </c>
      <c r="G8" s="27" t="s">
        <v>159</v>
      </c>
      <c r="H8" s="18" t="s">
        <v>160</v>
      </c>
    </row>
    <row r="9" customFormat="false" ht="15" hidden="false" customHeight="true" outlineLevel="0" collapsed="false">
      <c r="A9" s="10" t="n">
        <v>7</v>
      </c>
      <c r="B9" s="11" t="n">
        <v>46186</v>
      </c>
      <c r="C9" s="12" t="s">
        <v>45</v>
      </c>
      <c r="D9" s="10" t="s">
        <v>59</v>
      </c>
      <c r="E9" s="13" t="s">
        <v>62</v>
      </c>
      <c r="F9" s="13" t="s">
        <v>63</v>
      </c>
      <c r="G9" s="26" t="s">
        <v>161</v>
      </c>
      <c r="H9" s="12" t="s">
        <v>157</v>
      </c>
    </row>
    <row r="10" customFormat="false" ht="15" hidden="false" customHeight="true" outlineLevel="0" collapsed="false">
      <c r="A10" s="16" t="n">
        <v>8</v>
      </c>
      <c r="B10" s="17" t="n">
        <v>46186</v>
      </c>
      <c r="C10" s="18" t="s">
        <v>45</v>
      </c>
      <c r="D10" s="16" t="s">
        <v>54</v>
      </c>
      <c r="E10" s="19" t="s">
        <v>64</v>
      </c>
      <c r="F10" s="19" t="s">
        <v>65</v>
      </c>
      <c r="G10" s="27" t="s">
        <v>162</v>
      </c>
      <c r="H10" s="18" t="s">
        <v>163</v>
      </c>
    </row>
    <row r="11" customFormat="false" ht="15" hidden="false" customHeight="true" outlineLevel="0" collapsed="false">
      <c r="A11" s="10" t="n">
        <v>9</v>
      </c>
      <c r="B11" s="11" t="n">
        <v>46187</v>
      </c>
      <c r="C11" s="12" t="s">
        <v>45</v>
      </c>
      <c r="D11" s="10" t="s">
        <v>66</v>
      </c>
      <c r="E11" s="13" t="s">
        <v>67</v>
      </c>
      <c r="F11" s="13" t="s">
        <v>68</v>
      </c>
      <c r="G11" s="26" t="s">
        <v>164</v>
      </c>
      <c r="H11" s="12" t="s">
        <v>165</v>
      </c>
    </row>
    <row r="12" customFormat="false" ht="15" hidden="false" customHeight="true" outlineLevel="0" collapsed="false">
      <c r="A12" s="16" t="n">
        <v>10</v>
      </c>
      <c r="B12" s="17" t="n">
        <v>46187</v>
      </c>
      <c r="C12" s="18" t="s">
        <v>45</v>
      </c>
      <c r="D12" s="16" t="s">
        <v>69</v>
      </c>
      <c r="E12" s="19" t="s">
        <v>70</v>
      </c>
      <c r="F12" s="19" t="s">
        <v>71</v>
      </c>
      <c r="G12" s="27" t="s">
        <v>166</v>
      </c>
      <c r="H12" s="18" t="s">
        <v>167</v>
      </c>
    </row>
    <row r="13" customFormat="false" ht="15" hidden="false" customHeight="true" outlineLevel="0" collapsed="false">
      <c r="A13" s="10" t="n">
        <v>11</v>
      </c>
      <c r="B13" s="11" t="n">
        <v>46187</v>
      </c>
      <c r="C13" s="12" t="s">
        <v>45</v>
      </c>
      <c r="D13" s="10" t="s">
        <v>66</v>
      </c>
      <c r="E13" s="13" t="s">
        <v>72</v>
      </c>
      <c r="F13" s="13" t="s">
        <v>73</v>
      </c>
      <c r="G13" s="26" t="s">
        <v>168</v>
      </c>
      <c r="H13" s="12" t="s">
        <v>169</v>
      </c>
    </row>
    <row r="14" customFormat="false" ht="15" hidden="false" customHeight="true" outlineLevel="0" collapsed="false">
      <c r="A14" s="16" t="n">
        <v>12</v>
      </c>
      <c r="B14" s="17" t="n">
        <v>46187</v>
      </c>
      <c r="C14" s="18" t="s">
        <v>45</v>
      </c>
      <c r="D14" s="16" t="s">
        <v>69</v>
      </c>
      <c r="E14" s="19" t="s">
        <v>74</v>
      </c>
      <c r="F14" s="19" t="s">
        <v>75</v>
      </c>
      <c r="G14" s="27" t="s">
        <v>170</v>
      </c>
      <c r="H14" s="18" t="s">
        <v>154</v>
      </c>
    </row>
    <row r="15" customFormat="false" ht="15" hidden="false" customHeight="true" outlineLevel="0" collapsed="false">
      <c r="A15" s="10" t="n">
        <v>13</v>
      </c>
      <c r="B15" s="11" t="n">
        <v>46188</v>
      </c>
      <c r="C15" s="12" t="s">
        <v>45</v>
      </c>
      <c r="D15" s="10" t="s">
        <v>76</v>
      </c>
      <c r="E15" s="13" t="s">
        <v>77</v>
      </c>
      <c r="F15" s="13" t="s">
        <v>78</v>
      </c>
      <c r="G15" s="26" t="s">
        <v>171</v>
      </c>
      <c r="H15" s="12" t="s">
        <v>172</v>
      </c>
    </row>
    <row r="16" customFormat="false" ht="15" hidden="false" customHeight="true" outlineLevel="0" collapsed="false">
      <c r="A16" s="16" t="n">
        <v>14</v>
      </c>
      <c r="B16" s="17" t="n">
        <v>46188</v>
      </c>
      <c r="C16" s="18" t="s">
        <v>45</v>
      </c>
      <c r="D16" s="16" t="s">
        <v>79</v>
      </c>
      <c r="E16" s="19" t="s">
        <v>80</v>
      </c>
      <c r="F16" s="19" t="s">
        <v>81</v>
      </c>
      <c r="G16" s="27" t="s">
        <v>173</v>
      </c>
      <c r="H16" s="18" t="s">
        <v>152</v>
      </c>
    </row>
    <row r="17" customFormat="false" ht="15" hidden="false" customHeight="true" outlineLevel="0" collapsed="false">
      <c r="A17" s="10" t="n">
        <v>15</v>
      </c>
      <c r="B17" s="11" t="n">
        <v>46188</v>
      </c>
      <c r="C17" s="12" t="s">
        <v>45</v>
      </c>
      <c r="D17" s="10" t="s">
        <v>76</v>
      </c>
      <c r="E17" s="13" t="s">
        <v>82</v>
      </c>
      <c r="F17" s="13" t="s">
        <v>83</v>
      </c>
      <c r="G17" s="26" t="s">
        <v>174</v>
      </c>
      <c r="H17" s="12" t="s">
        <v>160</v>
      </c>
    </row>
    <row r="18" customFormat="false" ht="15" hidden="false" customHeight="true" outlineLevel="0" collapsed="false">
      <c r="A18" s="16" t="n">
        <v>16</v>
      </c>
      <c r="B18" s="17" t="n">
        <v>46188</v>
      </c>
      <c r="C18" s="18" t="s">
        <v>45</v>
      </c>
      <c r="D18" s="16" t="s">
        <v>79</v>
      </c>
      <c r="E18" s="19" t="s">
        <v>84</v>
      </c>
      <c r="F18" s="19" t="s">
        <v>85</v>
      </c>
      <c r="G18" s="27" t="s">
        <v>156</v>
      </c>
      <c r="H18" s="18" t="s">
        <v>157</v>
      </c>
    </row>
    <row r="19" customFormat="false" ht="15" hidden="false" customHeight="true" outlineLevel="0" collapsed="false">
      <c r="A19" s="10" t="n">
        <v>17</v>
      </c>
      <c r="B19" s="11" t="n">
        <v>46189</v>
      </c>
      <c r="C19" s="12" t="s">
        <v>45</v>
      </c>
      <c r="D19" s="10" t="s">
        <v>86</v>
      </c>
      <c r="E19" s="13" t="s">
        <v>87</v>
      </c>
      <c r="F19" s="13" t="s">
        <v>88</v>
      </c>
      <c r="G19" s="26" t="s">
        <v>159</v>
      </c>
      <c r="H19" s="12" t="s">
        <v>152</v>
      </c>
    </row>
    <row r="20" customFormat="false" ht="15" hidden="false" customHeight="true" outlineLevel="0" collapsed="false">
      <c r="A20" s="16" t="n">
        <v>18</v>
      </c>
      <c r="B20" s="17" t="n">
        <v>46189</v>
      </c>
      <c r="C20" s="18" t="s">
        <v>45</v>
      </c>
      <c r="D20" s="16" t="s">
        <v>86</v>
      </c>
      <c r="E20" s="19" t="s">
        <v>89</v>
      </c>
      <c r="F20" s="19" t="s">
        <v>90</v>
      </c>
      <c r="G20" s="27" t="s">
        <v>161</v>
      </c>
      <c r="H20" s="18" t="s">
        <v>160</v>
      </c>
    </row>
    <row r="21" customFormat="false" ht="15" hidden="false" customHeight="true" outlineLevel="0" collapsed="false">
      <c r="A21" s="10" t="n">
        <v>19</v>
      </c>
      <c r="B21" s="11" t="n">
        <v>46189</v>
      </c>
      <c r="C21" s="12" t="s">
        <v>45</v>
      </c>
      <c r="D21" s="10" t="s">
        <v>91</v>
      </c>
      <c r="E21" s="13" t="s">
        <v>92</v>
      </c>
      <c r="F21" s="13" t="s">
        <v>93</v>
      </c>
      <c r="G21" s="26" t="s">
        <v>175</v>
      </c>
      <c r="H21" s="12" t="s">
        <v>157</v>
      </c>
    </row>
    <row r="22" customFormat="false" ht="15" hidden="false" customHeight="true" outlineLevel="0" collapsed="false">
      <c r="A22" s="16" t="n">
        <v>20</v>
      </c>
      <c r="B22" s="17" t="n">
        <v>46189</v>
      </c>
      <c r="C22" s="18" t="s">
        <v>45</v>
      </c>
      <c r="D22" s="16" t="s">
        <v>91</v>
      </c>
      <c r="E22" s="19" t="s">
        <v>94</v>
      </c>
      <c r="F22" s="19" t="s">
        <v>95</v>
      </c>
      <c r="G22" s="27" t="s">
        <v>158</v>
      </c>
      <c r="H22" s="18" t="s">
        <v>163</v>
      </c>
    </row>
    <row r="23" customFormat="false" ht="15" hidden="false" customHeight="true" outlineLevel="0" collapsed="false">
      <c r="A23" s="10" t="n">
        <v>21</v>
      </c>
      <c r="B23" s="11" t="n">
        <v>46190</v>
      </c>
      <c r="C23" s="12" t="s">
        <v>45</v>
      </c>
      <c r="D23" s="10" t="s">
        <v>96</v>
      </c>
      <c r="E23" s="13" t="s">
        <v>97</v>
      </c>
      <c r="F23" s="13" t="s">
        <v>98</v>
      </c>
      <c r="G23" s="26" t="s">
        <v>164</v>
      </c>
      <c r="H23" s="12" t="s">
        <v>165</v>
      </c>
    </row>
    <row r="24" customFormat="false" ht="15" hidden="false" customHeight="true" outlineLevel="0" collapsed="false">
      <c r="A24" s="16" t="n">
        <v>22</v>
      </c>
      <c r="B24" s="17" t="n">
        <v>46190</v>
      </c>
      <c r="C24" s="18" t="s">
        <v>45</v>
      </c>
      <c r="D24" s="16" t="s">
        <v>99</v>
      </c>
      <c r="E24" s="19" t="s">
        <v>100</v>
      </c>
      <c r="F24" s="19" t="s">
        <v>101</v>
      </c>
      <c r="G24" s="27" t="s">
        <v>166</v>
      </c>
      <c r="H24" s="18" t="s">
        <v>167</v>
      </c>
    </row>
    <row r="25" customFormat="false" ht="15" hidden="false" customHeight="true" outlineLevel="0" collapsed="false">
      <c r="A25" s="10" t="n">
        <v>23</v>
      </c>
      <c r="B25" s="11" t="n">
        <v>46190</v>
      </c>
      <c r="C25" s="12" t="s">
        <v>45</v>
      </c>
      <c r="D25" s="10" t="s">
        <v>99</v>
      </c>
      <c r="E25" s="13" t="s">
        <v>102</v>
      </c>
      <c r="F25" s="13" t="s">
        <v>103</v>
      </c>
      <c r="G25" s="26" t="s">
        <v>155</v>
      </c>
      <c r="H25" s="12" t="s">
        <v>169</v>
      </c>
    </row>
    <row r="26" customFormat="false" ht="15" hidden="false" customHeight="true" outlineLevel="0" collapsed="false">
      <c r="A26" s="16" t="n">
        <v>24</v>
      </c>
      <c r="B26" s="17" t="n">
        <v>46190</v>
      </c>
      <c r="C26" s="18" t="s">
        <v>45</v>
      </c>
      <c r="D26" s="16" t="s">
        <v>96</v>
      </c>
      <c r="E26" s="19" t="s">
        <v>104</v>
      </c>
      <c r="F26" s="19" t="s">
        <v>105</v>
      </c>
      <c r="G26" s="27" t="s">
        <v>151</v>
      </c>
      <c r="H26" s="18" t="s">
        <v>154</v>
      </c>
    </row>
    <row r="27" customFormat="false" ht="15" hidden="false" customHeight="true" outlineLevel="0" collapsed="false">
      <c r="A27" s="10" t="n">
        <v>25</v>
      </c>
      <c r="B27" s="11" t="n">
        <v>46191</v>
      </c>
      <c r="C27" s="12" t="s">
        <v>45</v>
      </c>
      <c r="D27" s="10" t="s">
        <v>46</v>
      </c>
      <c r="E27" s="13" t="s">
        <v>50</v>
      </c>
      <c r="F27" s="13" t="s">
        <v>48</v>
      </c>
      <c r="G27" s="26" t="s">
        <v>171</v>
      </c>
      <c r="H27" s="12" t="s">
        <v>172</v>
      </c>
    </row>
    <row r="28" customFormat="false" ht="15" hidden="false" customHeight="true" outlineLevel="0" collapsed="false">
      <c r="A28" s="16" t="n">
        <v>26</v>
      </c>
      <c r="B28" s="17" t="n">
        <v>46191</v>
      </c>
      <c r="C28" s="18" t="s">
        <v>45</v>
      </c>
      <c r="D28" s="16" t="s">
        <v>51</v>
      </c>
      <c r="E28" s="19" t="s">
        <v>58</v>
      </c>
      <c r="F28" s="19" t="s">
        <v>53</v>
      </c>
      <c r="G28" s="27" t="s">
        <v>156</v>
      </c>
      <c r="H28" s="18" t="s">
        <v>152</v>
      </c>
    </row>
    <row r="29" customFormat="false" ht="15" hidden="false" customHeight="true" outlineLevel="0" collapsed="false">
      <c r="A29" s="10" t="n">
        <v>27</v>
      </c>
      <c r="B29" s="11" t="n">
        <v>46191</v>
      </c>
      <c r="C29" s="12" t="s">
        <v>45</v>
      </c>
      <c r="D29" s="10" t="s">
        <v>51</v>
      </c>
      <c r="E29" s="13" t="s">
        <v>52</v>
      </c>
      <c r="F29" s="13" t="s">
        <v>57</v>
      </c>
      <c r="G29" s="26" t="s">
        <v>162</v>
      </c>
      <c r="H29" s="12" t="s">
        <v>160</v>
      </c>
    </row>
    <row r="30" customFormat="false" ht="15" hidden="false" customHeight="true" outlineLevel="0" collapsed="false">
      <c r="A30" s="16" t="n">
        <v>28</v>
      </c>
      <c r="B30" s="17" t="n">
        <v>46191</v>
      </c>
      <c r="C30" s="18" t="s">
        <v>45</v>
      </c>
      <c r="D30" s="16" t="s">
        <v>46</v>
      </c>
      <c r="E30" s="19" t="s">
        <v>47</v>
      </c>
      <c r="F30" s="19" t="s">
        <v>49</v>
      </c>
      <c r="G30" s="27" t="s">
        <v>153</v>
      </c>
      <c r="H30" s="18" t="s">
        <v>157</v>
      </c>
    </row>
    <row r="31" customFormat="false" ht="15" hidden="false" customHeight="true" outlineLevel="0" collapsed="false">
      <c r="A31" s="10" t="n">
        <v>29</v>
      </c>
      <c r="B31" s="11" t="n">
        <v>46192</v>
      </c>
      <c r="C31" s="12" t="s">
        <v>45</v>
      </c>
      <c r="D31" s="10" t="s">
        <v>54</v>
      </c>
      <c r="E31" s="13" t="s">
        <v>55</v>
      </c>
      <c r="F31" s="13" t="s">
        <v>64</v>
      </c>
      <c r="G31" s="26" t="s">
        <v>173</v>
      </c>
      <c r="H31" s="12" t="s">
        <v>152</v>
      </c>
    </row>
    <row r="32" customFormat="false" ht="15" hidden="false" customHeight="true" outlineLevel="0" collapsed="false">
      <c r="A32" s="16" t="n">
        <v>30</v>
      </c>
      <c r="B32" s="17" t="n">
        <v>46192</v>
      </c>
      <c r="C32" s="18" t="s">
        <v>45</v>
      </c>
      <c r="D32" s="16" t="s">
        <v>59</v>
      </c>
      <c r="E32" s="19" t="s">
        <v>63</v>
      </c>
      <c r="F32" s="19" t="s">
        <v>61</v>
      </c>
      <c r="G32" s="27" t="s">
        <v>161</v>
      </c>
      <c r="H32" s="18" t="s">
        <v>152</v>
      </c>
    </row>
    <row r="33" customFormat="false" ht="15" hidden="false" customHeight="true" outlineLevel="0" collapsed="false">
      <c r="A33" s="10" t="n">
        <v>31</v>
      </c>
      <c r="B33" s="11" t="n">
        <v>46192</v>
      </c>
      <c r="C33" s="12" t="s">
        <v>45</v>
      </c>
      <c r="D33" s="10" t="s">
        <v>59</v>
      </c>
      <c r="E33" s="13" t="s">
        <v>60</v>
      </c>
      <c r="F33" s="13" t="s">
        <v>62</v>
      </c>
      <c r="G33" s="26" t="s">
        <v>168</v>
      </c>
      <c r="H33" s="12" t="s">
        <v>157</v>
      </c>
    </row>
    <row r="34" customFormat="false" ht="15" hidden="false" customHeight="true" outlineLevel="0" collapsed="false">
      <c r="A34" s="16" t="n">
        <v>32</v>
      </c>
      <c r="B34" s="17" t="n">
        <v>46192</v>
      </c>
      <c r="C34" s="18" t="s">
        <v>45</v>
      </c>
      <c r="D34" s="16" t="s">
        <v>54</v>
      </c>
      <c r="E34" s="19" t="s">
        <v>65</v>
      </c>
      <c r="F34" s="19" t="s">
        <v>56</v>
      </c>
      <c r="G34" s="27" t="s">
        <v>158</v>
      </c>
      <c r="H34" s="18" t="s">
        <v>163</v>
      </c>
    </row>
    <row r="35" customFormat="false" ht="15" hidden="false" customHeight="true" outlineLevel="0" collapsed="false">
      <c r="A35" s="10" t="n">
        <v>33</v>
      </c>
      <c r="B35" s="11" t="n">
        <v>46193</v>
      </c>
      <c r="C35" s="12" t="s">
        <v>45</v>
      </c>
      <c r="D35" s="10" t="s">
        <v>69</v>
      </c>
      <c r="E35" s="13" t="s">
        <v>70</v>
      </c>
      <c r="F35" s="13" t="s">
        <v>75</v>
      </c>
      <c r="G35" s="26" t="s">
        <v>164</v>
      </c>
      <c r="H35" s="12" t="s">
        <v>165</v>
      </c>
    </row>
    <row r="36" customFormat="false" ht="15" hidden="false" customHeight="true" outlineLevel="0" collapsed="false">
      <c r="A36" s="16" t="n">
        <v>34</v>
      </c>
      <c r="B36" s="17" t="n">
        <v>46193</v>
      </c>
      <c r="C36" s="18" t="s">
        <v>45</v>
      </c>
      <c r="D36" s="16" t="s">
        <v>66</v>
      </c>
      <c r="E36" s="19" t="s">
        <v>67</v>
      </c>
      <c r="F36" s="19" t="s">
        <v>72</v>
      </c>
      <c r="G36" s="27" t="s">
        <v>155</v>
      </c>
      <c r="H36" s="18" t="s">
        <v>167</v>
      </c>
    </row>
    <row r="37" customFormat="false" ht="15" hidden="false" customHeight="true" outlineLevel="0" collapsed="false">
      <c r="A37" s="10" t="n">
        <v>35</v>
      </c>
      <c r="B37" s="11" t="n">
        <v>46193</v>
      </c>
      <c r="C37" s="12" t="s">
        <v>45</v>
      </c>
      <c r="D37" s="10" t="s">
        <v>66</v>
      </c>
      <c r="E37" s="13" t="s">
        <v>73</v>
      </c>
      <c r="F37" s="13" t="s">
        <v>68</v>
      </c>
      <c r="G37" s="26" t="s">
        <v>175</v>
      </c>
      <c r="H37" s="12" t="s">
        <v>176</v>
      </c>
    </row>
    <row r="38" customFormat="false" ht="15" hidden="false" customHeight="true" outlineLevel="0" collapsed="false">
      <c r="A38" s="16" t="n">
        <v>36</v>
      </c>
      <c r="B38" s="17" t="n">
        <v>46193</v>
      </c>
      <c r="C38" s="18" t="s">
        <v>45</v>
      </c>
      <c r="D38" s="16" t="s">
        <v>69</v>
      </c>
      <c r="E38" s="19" t="s">
        <v>74</v>
      </c>
      <c r="F38" s="19" t="s">
        <v>71</v>
      </c>
      <c r="G38" s="27" t="s">
        <v>170</v>
      </c>
      <c r="H38" s="18" t="s">
        <v>163</v>
      </c>
    </row>
    <row r="39" customFormat="false" ht="15" hidden="false" customHeight="true" outlineLevel="0" collapsed="false">
      <c r="A39" s="10" t="n">
        <v>37</v>
      </c>
      <c r="B39" s="11" t="n">
        <v>46194</v>
      </c>
      <c r="C39" s="12" t="s">
        <v>45</v>
      </c>
      <c r="D39" s="10" t="s">
        <v>76</v>
      </c>
      <c r="E39" s="13" t="s">
        <v>77</v>
      </c>
      <c r="F39" s="13" t="s">
        <v>82</v>
      </c>
      <c r="G39" s="26" t="s">
        <v>171</v>
      </c>
      <c r="H39" s="12" t="s">
        <v>172</v>
      </c>
    </row>
    <row r="40" customFormat="false" ht="15" hidden="false" customHeight="true" outlineLevel="0" collapsed="false">
      <c r="A40" s="16" t="n">
        <v>38</v>
      </c>
      <c r="B40" s="17" t="n">
        <v>46194</v>
      </c>
      <c r="C40" s="18" t="s">
        <v>45</v>
      </c>
      <c r="D40" s="16" t="s">
        <v>79</v>
      </c>
      <c r="E40" s="19" t="s">
        <v>80</v>
      </c>
      <c r="F40" s="19" t="s">
        <v>84</v>
      </c>
      <c r="G40" s="27" t="s">
        <v>156</v>
      </c>
      <c r="H40" s="18" t="s">
        <v>152</v>
      </c>
    </row>
    <row r="41" customFormat="false" ht="15" hidden="false" customHeight="true" outlineLevel="0" collapsed="false">
      <c r="A41" s="10" t="n">
        <v>39</v>
      </c>
      <c r="B41" s="11" t="n">
        <v>46194</v>
      </c>
      <c r="C41" s="12" t="s">
        <v>45</v>
      </c>
      <c r="D41" s="10" t="s">
        <v>76</v>
      </c>
      <c r="E41" s="13" t="s">
        <v>83</v>
      </c>
      <c r="F41" s="13" t="s">
        <v>78</v>
      </c>
      <c r="G41" s="26" t="s">
        <v>174</v>
      </c>
      <c r="H41" s="12" t="s">
        <v>160</v>
      </c>
    </row>
    <row r="42" customFormat="false" ht="15" hidden="false" customHeight="true" outlineLevel="0" collapsed="false">
      <c r="A42" s="16" t="n">
        <v>40</v>
      </c>
      <c r="B42" s="17" t="n">
        <v>46194</v>
      </c>
      <c r="C42" s="18" t="s">
        <v>45</v>
      </c>
      <c r="D42" s="16" t="s">
        <v>79</v>
      </c>
      <c r="E42" s="19" t="s">
        <v>85</v>
      </c>
      <c r="F42" s="19" t="s">
        <v>81</v>
      </c>
      <c r="G42" s="27" t="s">
        <v>162</v>
      </c>
      <c r="H42" s="18" t="s">
        <v>157</v>
      </c>
    </row>
    <row r="43" customFormat="false" ht="15" hidden="false" customHeight="true" outlineLevel="0" collapsed="false">
      <c r="A43" s="10" t="n">
        <v>41</v>
      </c>
      <c r="B43" s="11" t="n">
        <v>46195</v>
      </c>
      <c r="C43" s="12" t="s">
        <v>45</v>
      </c>
      <c r="D43" s="10" t="s">
        <v>91</v>
      </c>
      <c r="E43" s="13" t="s">
        <v>92</v>
      </c>
      <c r="F43" s="13" t="s">
        <v>94</v>
      </c>
      <c r="G43" s="26" t="s">
        <v>166</v>
      </c>
      <c r="H43" s="12" t="s">
        <v>165</v>
      </c>
    </row>
    <row r="44" customFormat="false" ht="15" hidden="false" customHeight="true" outlineLevel="0" collapsed="false">
      <c r="A44" s="16" t="n">
        <v>42</v>
      </c>
      <c r="B44" s="17" t="n">
        <v>46195</v>
      </c>
      <c r="C44" s="18" t="s">
        <v>45</v>
      </c>
      <c r="D44" s="16" t="s">
        <v>86</v>
      </c>
      <c r="E44" s="19" t="s">
        <v>87</v>
      </c>
      <c r="F44" s="19" t="s">
        <v>89</v>
      </c>
      <c r="G44" s="27" t="s">
        <v>168</v>
      </c>
      <c r="H44" s="18" t="s">
        <v>177</v>
      </c>
    </row>
    <row r="45" customFormat="false" ht="15" hidden="false" customHeight="true" outlineLevel="0" collapsed="false">
      <c r="A45" s="10" t="n">
        <v>43</v>
      </c>
      <c r="B45" s="11" t="n">
        <v>46195</v>
      </c>
      <c r="C45" s="12" t="s">
        <v>45</v>
      </c>
      <c r="D45" s="10" t="s">
        <v>86</v>
      </c>
      <c r="E45" s="13" t="s">
        <v>90</v>
      </c>
      <c r="F45" s="13" t="s">
        <v>88</v>
      </c>
      <c r="G45" s="26" t="s">
        <v>159</v>
      </c>
      <c r="H45" s="12" t="s">
        <v>176</v>
      </c>
    </row>
    <row r="46" customFormat="false" ht="15" hidden="false" customHeight="true" outlineLevel="0" collapsed="false">
      <c r="A46" s="16" t="n">
        <v>44</v>
      </c>
      <c r="B46" s="17" t="n">
        <v>46195</v>
      </c>
      <c r="C46" s="18" t="s">
        <v>45</v>
      </c>
      <c r="D46" s="16" t="s">
        <v>91</v>
      </c>
      <c r="E46" s="19" t="s">
        <v>95</v>
      </c>
      <c r="F46" s="19" t="s">
        <v>93</v>
      </c>
      <c r="G46" s="27" t="s">
        <v>158</v>
      </c>
      <c r="H46" s="18" t="s">
        <v>178</v>
      </c>
    </row>
    <row r="47" customFormat="false" ht="15" hidden="false" customHeight="true" outlineLevel="0" collapsed="false">
      <c r="A47" s="10" t="n">
        <v>45</v>
      </c>
      <c r="B47" s="11" t="n">
        <v>46196</v>
      </c>
      <c r="C47" s="12" t="s">
        <v>45</v>
      </c>
      <c r="D47" s="10" t="s">
        <v>96</v>
      </c>
      <c r="E47" s="13" t="s">
        <v>97</v>
      </c>
      <c r="F47" s="13" t="s">
        <v>104</v>
      </c>
      <c r="G47" s="26" t="s">
        <v>164</v>
      </c>
      <c r="H47" s="12" t="s">
        <v>165</v>
      </c>
    </row>
    <row r="48" customFormat="false" ht="15" hidden="false" customHeight="true" outlineLevel="0" collapsed="false">
      <c r="A48" s="16" t="n">
        <v>46</v>
      </c>
      <c r="B48" s="17" t="n">
        <v>46196</v>
      </c>
      <c r="C48" s="18" t="s">
        <v>45</v>
      </c>
      <c r="D48" s="16" t="s">
        <v>99</v>
      </c>
      <c r="E48" s="19" t="s">
        <v>100</v>
      </c>
      <c r="F48" s="19" t="s">
        <v>102</v>
      </c>
      <c r="G48" s="27" t="s">
        <v>161</v>
      </c>
      <c r="H48" s="18" t="s">
        <v>167</v>
      </c>
    </row>
    <row r="49" customFormat="false" ht="15" hidden="false" customHeight="true" outlineLevel="0" collapsed="false">
      <c r="A49" s="10" t="n">
        <v>47</v>
      </c>
      <c r="B49" s="11" t="n">
        <v>46196</v>
      </c>
      <c r="C49" s="12" t="s">
        <v>45</v>
      </c>
      <c r="D49" s="10" t="s">
        <v>99</v>
      </c>
      <c r="E49" s="13" t="s">
        <v>103</v>
      </c>
      <c r="F49" s="13" t="s">
        <v>101</v>
      </c>
      <c r="G49" s="26" t="s">
        <v>155</v>
      </c>
      <c r="H49" s="12" t="s">
        <v>169</v>
      </c>
    </row>
    <row r="50" customFormat="false" ht="15" hidden="false" customHeight="true" outlineLevel="0" collapsed="false">
      <c r="A50" s="16" t="n">
        <v>48</v>
      </c>
      <c r="B50" s="17" t="n">
        <v>46196</v>
      </c>
      <c r="C50" s="18" t="s">
        <v>45</v>
      </c>
      <c r="D50" s="16" t="s">
        <v>96</v>
      </c>
      <c r="E50" s="19" t="s">
        <v>105</v>
      </c>
      <c r="F50" s="19" t="s">
        <v>98</v>
      </c>
      <c r="G50" s="27" t="s">
        <v>153</v>
      </c>
      <c r="H50" s="18" t="s">
        <v>154</v>
      </c>
    </row>
    <row r="51" customFormat="false" ht="15" hidden="false" customHeight="true" outlineLevel="0" collapsed="false">
      <c r="A51" s="10" t="n">
        <v>49</v>
      </c>
      <c r="B51" s="11" t="n">
        <v>46197</v>
      </c>
      <c r="C51" s="12" t="s">
        <v>45</v>
      </c>
      <c r="D51" s="10" t="s">
        <v>51</v>
      </c>
      <c r="E51" s="13" t="s">
        <v>58</v>
      </c>
      <c r="F51" s="13" t="s">
        <v>52</v>
      </c>
      <c r="G51" s="26" t="s">
        <v>162</v>
      </c>
      <c r="H51" s="12" t="s">
        <v>152</v>
      </c>
    </row>
    <row r="52" customFormat="false" ht="15" hidden="false" customHeight="true" outlineLevel="0" collapsed="false">
      <c r="A52" s="16" t="n">
        <v>50</v>
      </c>
      <c r="B52" s="17" t="n">
        <v>46197</v>
      </c>
      <c r="C52" s="18" t="s">
        <v>45</v>
      </c>
      <c r="D52" s="16" t="s">
        <v>51</v>
      </c>
      <c r="E52" s="19" t="s">
        <v>53</v>
      </c>
      <c r="F52" s="19" t="s">
        <v>57</v>
      </c>
      <c r="G52" s="27" t="s">
        <v>173</v>
      </c>
      <c r="H52" s="18" t="s">
        <v>152</v>
      </c>
    </row>
    <row r="53" customFormat="false" ht="15" hidden="false" customHeight="true" outlineLevel="0" collapsed="false">
      <c r="A53" s="10" t="n">
        <v>51</v>
      </c>
      <c r="B53" s="11" t="n">
        <v>46197</v>
      </c>
      <c r="C53" s="12" t="s">
        <v>45</v>
      </c>
      <c r="D53" s="10" t="s">
        <v>59</v>
      </c>
      <c r="E53" s="13" t="s">
        <v>60</v>
      </c>
      <c r="F53" s="13" t="s">
        <v>63</v>
      </c>
      <c r="G53" s="26" t="s">
        <v>174</v>
      </c>
      <c r="H53" s="12" t="s">
        <v>160</v>
      </c>
    </row>
    <row r="54" customFormat="false" ht="15" hidden="false" customHeight="true" outlineLevel="0" collapsed="false">
      <c r="A54" s="16" t="n">
        <v>52</v>
      </c>
      <c r="B54" s="17" t="n">
        <v>46197</v>
      </c>
      <c r="C54" s="18" t="s">
        <v>45</v>
      </c>
      <c r="D54" s="16" t="s">
        <v>59</v>
      </c>
      <c r="E54" s="19" t="s">
        <v>61</v>
      </c>
      <c r="F54" s="19" t="s">
        <v>62</v>
      </c>
      <c r="G54" s="27" t="s">
        <v>171</v>
      </c>
      <c r="H54" s="18" t="s">
        <v>160</v>
      </c>
    </row>
    <row r="55" customFormat="false" ht="15" hidden="false" customHeight="true" outlineLevel="0" collapsed="false">
      <c r="A55" s="10" t="n">
        <v>53</v>
      </c>
      <c r="B55" s="11" t="n">
        <v>46197</v>
      </c>
      <c r="C55" s="12" t="s">
        <v>45</v>
      </c>
      <c r="D55" s="10" t="s">
        <v>46</v>
      </c>
      <c r="E55" s="13" t="s">
        <v>47</v>
      </c>
      <c r="F55" s="13" t="s">
        <v>50</v>
      </c>
      <c r="G55" s="26" t="s">
        <v>151</v>
      </c>
      <c r="H55" s="12" t="s">
        <v>157</v>
      </c>
    </row>
    <row r="56" customFormat="false" ht="15" hidden="false" customHeight="true" outlineLevel="0" collapsed="false">
      <c r="A56" s="16" t="n">
        <v>54</v>
      </c>
      <c r="B56" s="17" t="n">
        <v>46197</v>
      </c>
      <c r="C56" s="18" t="s">
        <v>45</v>
      </c>
      <c r="D56" s="16" t="s">
        <v>46</v>
      </c>
      <c r="E56" s="19" t="s">
        <v>49</v>
      </c>
      <c r="F56" s="19" t="s">
        <v>48</v>
      </c>
      <c r="G56" s="27" t="s">
        <v>170</v>
      </c>
      <c r="H56" s="18" t="s">
        <v>157</v>
      </c>
    </row>
    <row r="57" customFormat="false" ht="15" hidden="false" customHeight="true" outlineLevel="0" collapsed="false">
      <c r="A57" s="10" t="n">
        <v>55</v>
      </c>
      <c r="B57" s="11" t="n">
        <v>46198</v>
      </c>
      <c r="C57" s="12" t="s">
        <v>45</v>
      </c>
      <c r="D57" s="10" t="s">
        <v>66</v>
      </c>
      <c r="E57" s="13" t="s">
        <v>73</v>
      </c>
      <c r="F57" s="13" t="s">
        <v>67</v>
      </c>
      <c r="G57" s="26" t="s">
        <v>159</v>
      </c>
      <c r="H57" s="12" t="s">
        <v>167</v>
      </c>
    </row>
    <row r="58" customFormat="false" ht="15" hidden="false" customHeight="true" outlineLevel="0" collapsed="false">
      <c r="A58" s="16" t="n">
        <v>56</v>
      </c>
      <c r="B58" s="17" t="n">
        <v>46198</v>
      </c>
      <c r="C58" s="18" t="s">
        <v>45</v>
      </c>
      <c r="D58" s="16" t="s">
        <v>66</v>
      </c>
      <c r="E58" s="19" t="s">
        <v>68</v>
      </c>
      <c r="F58" s="19" t="s">
        <v>72</v>
      </c>
      <c r="G58" s="27" t="s">
        <v>168</v>
      </c>
      <c r="H58" s="18" t="s">
        <v>167</v>
      </c>
    </row>
    <row r="59" customFormat="false" ht="15" hidden="false" customHeight="true" outlineLevel="0" collapsed="false">
      <c r="A59" s="10" t="n">
        <v>57</v>
      </c>
      <c r="B59" s="11" t="n">
        <v>46198</v>
      </c>
      <c r="C59" s="12" t="s">
        <v>45</v>
      </c>
      <c r="D59" s="10" t="s">
        <v>69</v>
      </c>
      <c r="E59" s="13" t="s">
        <v>74</v>
      </c>
      <c r="F59" s="13" t="s">
        <v>70</v>
      </c>
      <c r="G59" s="26" t="s">
        <v>175</v>
      </c>
      <c r="H59" s="12" t="s">
        <v>169</v>
      </c>
    </row>
    <row r="60" customFormat="false" ht="15" hidden="false" customHeight="true" outlineLevel="0" collapsed="false">
      <c r="A60" s="16" t="n">
        <v>58</v>
      </c>
      <c r="B60" s="17" t="n">
        <v>46198</v>
      </c>
      <c r="C60" s="18" t="s">
        <v>45</v>
      </c>
      <c r="D60" s="16" t="s">
        <v>69</v>
      </c>
      <c r="E60" s="19" t="s">
        <v>71</v>
      </c>
      <c r="F60" s="19" t="s">
        <v>75</v>
      </c>
      <c r="G60" s="27" t="s">
        <v>166</v>
      </c>
      <c r="H60" s="18" t="s">
        <v>169</v>
      </c>
    </row>
    <row r="61" customFormat="false" ht="15" hidden="false" customHeight="true" outlineLevel="0" collapsed="false">
      <c r="A61" s="10" t="n">
        <v>59</v>
      </c>
      <c r="B61" s="11" t="n">
        <v>46198</v>
      </c>
      <c r="C61" s="12" t="s">
        <v>45</v>
      </c>
      <c r="D61" s="10" t="s">
        <v>54</v>
      </c>
      <c r="E61" s="13" t="s">
        <v>55</v>
      </c>
      <c r="F61" s="13" t="s">
        <v>65</v>
      </c>
      <c r="G61" s="26" t="s">
        <v>156</v>
      </c>
      <c r="H61" s="12" t="s">
        <v>154</v>
      </c>
    </row>
    <row r="62" customFormat="false" ht="15" hidden="false" customHeight="true" outlineLevel="0" collapsed="false">
      <c r="A62" s="16" t="n">
        <v>60</v>
      </c>
      <c r="B62" s="17" t="n">
        <v>46198</v>
      </c>
      <c r="C62" s="18" t="s">
        <v>45</v>
      </c>
      <c r="D62" s="16" t="s">
        <v>54</v>
      </c>
      <c r="E62" s="19" t="s">
        <v>56</v>
      </c>
      <c r="F62" s="19" t="s">
        <v>64</v>
      </c>
      <c r="G62" s="27" t="s">
        <v>158</v>
      </c>
      <c r="H62" s="18" t="s">
        <v>154</v>
      </c>
    </row>
    <row r="63" customFormat="false" ht="15" hidden="false" customHeight="true" outlineLevel="0" collapsed="false">
      <c r="A63" s="10" t="n">
        <v>61</v>
      </c>
      <c r="B63" s="11" t="n">
        <v>46199</v>
      </c>
      <c r="C63" s="12" t="s">
        <v>45</v>
      </c>
      <c r="D63" s="10" t="s">
        <v>86</v>
      </c>
      <c r="E63" s="13" t="s">
        <v>90</v>
      </c>
      <c r="F63" s="13" t="s">
        <v>87</v>
      </c>
      <c r="G63" s="26" t="s">
        <v>161</v>
      </c>
      <c r="H63" s="12" t="s">
        <v>152</v>
      </c>
    </row>
    <row r="64" customFormat="false" ht="15" hidden="false" customHeight="true" outlineLevel="0" collapsed="false">
      <c r="A64" s="16" t="n">
        <v>62</v>
      </c>
      <c r="B64" s="17" t="n">
        <v>46199</v>
      </c>
      <c r="C64" s="18" t="s">
        <v>45</v>
      </c>
      <c r="D64" s="16" t="s">
        <v>86</v>
      </c>
      <c r="E64" s="19" t="s">
        <v>88</v>
      </c>
      <c r="F64" s="19" t="s">
        <v>89</v>
      </c>
      <c r="G64" s="27" t="s">
        <v>155</v>
      </c>
      <c r="H64" s="18" t="s">
        <v>152</v>
      </c>
    </row>
    <row r="65" customFormat="false" ht="15" hidden="false" customHeight="true" outlineLevel="0" collapsed="false">
      <c r="A65" s="10" t="n">
        <v>63</v>
      </c>
      <c r="B65" s="11" t="n">
        <v>46199</v>
      </c>
      <c r="C65" s="12" t="s">
        <v>45</v>
      </c>
      <c r="D65" s="10" t="s">
        <v>76</v>
      </c>
      <c r="E65" s="13" t="s">
        <v>83</v>
      </c>
      <c r="F65" s="13" t="s">
        <v>77</v>
      </c>
      <c r="G65" s="26" t="s">
        <v>153</v>
      </c>
      <c r="H65" s="12" t="s">
        <v>176</v>
      </c>
    </row>
    <row r="66" customFormat="false" ht="15" hidden="false" customHeight="true" outlineLevel="0" collapsed="false">
      <c r="A66" s="16" t="n">
        <v>64</v>
      </c>
      <c r="B66" s="17" t="n">
        <v>46199</v>
      </c>
      <c r="C66" s="18" t="s">
        <v>45</v>
      </c>
      <c r="D66" s="16" t="s">
        <v>76</v>
      </c>
      <c r="E66" s="19" t="s">
        <v>78</v>
      </c>
      <c r="F66" s="19" t="s">
        <v>82</v>
      </c>
      <c r="G66" s="27" t="s">
        <v>164</v>
      </c>
      <c r="H66" s="18" t="s">
        <v>176</v>
      </c>
    </row>
    <row r="67" customFormat="false" ht="15" hidden="false" customHeight="true" outlineLevel="0" collapsed="false">
      <c r="A67" s="10" t="n">
        <v>65</v>
      </c>
      <c r="B67" s="11" t="n">
        <v>46199</v>
      </c>
      <c r="C67" s="12" t="s">
        <v>45</v>
      </c>
      <c r="D67" s="10" t="s">
        <v>79</v>
      </c>
      <c r="E67" s="13" t="s">
        <v>85</v>
      </c>
      <c r="F67" s="13" t="s">
        <v>80</v>
      </c>
      <c r="G67" s="26" t="s">
        <v>162</v>
      </c>
      <c r="H67" s="12" t="s">
        <v>178</v>
      </c>
    </row>
    <row r="68" customFormat="false" ht="15" hidden="false" customHeight="true" outlineLevel="0" collapsed="false">
      <c r="A68" s="16" t="n">
        <v>66</v>
      </c>
      <c r="B68" s="17" t="n">
        <v>46199</v>
      </c>
      <c r="C68" s="18" t="s">
        <v>45</v>
      </c>
      <c r="D68" s="16" t="s">
        <v>79</v>
      </c>
      <c r="E68" s="19" t="s">
        <v>81</v>
      </c>
      <c r="F68" s="19" t="s">
        <v>84</v>
      </c>
      <c r="G68" s="27" t="s">
        <v>173</v>
      </c>
      <c r="H68" s="18" t="s">
        <v>178</v>
      </c>
    </row>
    <row r="69" customFormat="false" ht="15" hidden="false" customHeight="true" outlineLevel="0" collapsed="false">
      <c r="A69" s="10" t="n">
        <v>67</v>
      </c>
      <c r="B69" s="11" t="n">
        <v>46200</v>
      </c>
      <c r="C69" s="12" t="s">
        <v>45</v>
      </c>
      <c r="D69" s="10" t="s">
        <v>99</v>
      </c>
      <c r="E69" s="13" t="s">
        <v>103</v>
      </c>
      <c r="F69" s="13" t="s">
        <v>100</v>
      </c>
      <c r="G69" s="26" t="s">
        <v>159</v>
      </c>
      <c r="H69" s="12" t="s">
        <v>177</v>
      </c>
    </row>
    <row r="70" customFormat="false" ht="15" hidden="false" customHeight="true" outlineLevel="0" collapsed="false">
      <c r="A70" s="16" t="n">
        <v>68</v>
      </c>
      <c r="B70" s="17" t="n">
        <v>46200</v>
      </c>
      <c r="C70" s="18" t="s">
        <v>45</v>
      </c>
      <c r="D70" s="16" t="s">
        <v>99</v>
      </c>
      <c r="E70" s="19" t="s">
        <v>101</v>
      </c>
      <c r="F70" s="19" t="s">
        <v>102</v>
      </c>
      <c r="G70" s="27" t="s">
        <v>168</v>
      </c>
      <c r="H70" s="18" t="s">
        <v>177</v>
      </c>
    </row>
    <row r="71" customFormat="false" ht="15" hidden="false" customHeight="true" outlineLevel="0" collapsed="false">
      <c r="A71" s="10" t="n">
        <v>69</v>
      </c>
      <c r="B71" s="11" t="n">
        <v>46200</v>
      </c>
      <c r="C71" s="12" t="s">
        <v>45</v>
      </c>
      <c r="D71" s="10" t="s">
        <v>96</v>
      </c>
      <c r="E71" s="13" t="s">
        <v>105</v>
      </c>
      <c r="F71" s="13" t="s">
        <v>97</v>
      </c>
      <c r="G71" s="26" t="s">
        <v>174</v>
      </c>
      <c r="H71" s="12" t="s">
        <v>179</v>
      </c>
    </row>
    <row r="72" customFormat="false" ht="15" hidden="false" customHeight="true" outlineLevel="0" collapsed="false">
      <c r="A72" s="16" t="n">
        <v>70</v>
      </c>
      <c r="B72" s="17" t="n">
        <v>46200</v>
      </c>
      <c r="C72" s="18" t="s">
        <v>45</v>
      </c>
      <c r="D72" s="16" t="s">
        <v>96</v>
      </c>
      <c r="E72" s="19" t="s">
        <v>98</v>
      </c>
      <c r="F72" s="19" t="s">
        <v>104</v>
      </c>
      <c r="G72" s="27" t="s">
        <v>171</v>
      </c>
      <c r="H72" s="18" t="s">
        <v>179</v>
      </c>
    </row>
    <row r="73" customFormat="false" ht="15" hidden="false" customHeight="true" outlineLevel="0" collapsed="false">
      <c r="A73" s="10" t="n">
        <v>71</v>
      </c>
      <c r="B73" s="11" t="n">
        <v>46200</v>
      </c>
      <c r="C73" s="12" t="s">
        <v>45</v>
      </c>
      <c r="D73" s="10" t="s">
        <v>91</v>
      </c>
      <c r="E73" s="13" t="s">
        <v>92</v>
      </c>
      <c r="F73" s="13" t="s">
        <v>95</v>
      </c>
      <c r="G73" s="26" t="s">
        <v>166</v>
      </c>
      <c r="H73" s="12" t="s">
        <v>154</v>
      </c>
    </row>
    <row r="74" customFormat="false" ht="15" hidden="false" customHeight="true" outlineLevel="0" collapsed="false">
      <c r="A74" s="16" t="n">
        <v>72</v>
      </c>
      <c r="B74" s="17" t="n">
        <v>46200</v>
      </c>
      <c r="C74" s="18" t="s">
        <v>45</v>
      </c>
      <c r="D74" s="16" t="s">
        <v>91</v>
      </c>
      <c r="E74" s="19" t="s">
        <v>93</v>
      </c>
      <c r="F74" s="19" t="s">
        <v>94</v>
      </c>
      <c r="G74" s="27" t="s">
        <v>175</v>
      </c>
      <c r="H74" s="18" t="s">
        <v>154</v>
      </c>
    </row>
    <row r="75" customFormat="false" ht="15" hidden="false" customHeight="true" outlineLevel="0" collapsed="false">
      <c r="A75" s="21" t="n">
        <v>73</v>
      </c>
      <c r="B75" s="22" t="n">
        <v>46201</v>
      </c>
      <c r="C75" s="23" t="s">
        <v>106</v>
      </c>
      <c r="D75" s="21"/>
      <c r="E75" s="24" t="s">
        <v>107</v>
      </c>
      <c r="F75" s="24" t="s">
        <v>108</v>
      </c>
      <c r="G75" s="28" t="s">
        <v>156</v>
      </c>
      <c r="H75" s="23" t="s">
        <v>152</v>
      </c>
    </row>
    <row r="76" customFormat="false" ht="15" hidden="false" customHeight="true" outlineLevel="0" collapsed="false">
      <c r="A76" s="21" t="n">
        <v>74</v>
      </c>
      <c r="B76" s="22" t="n">
        <v>46202</v>
      </c>
      <c r="C76" s="23" t="s">
        <v>106</v>
      </c>
      <c r="D76" s="21"/>
      <c r="E76" s="24" t="s">
        <v>109</v>
      </c>
      <c r="F76" s="24" t="s">
        <v>110</v>
      </c>
      <c r="G76" s="28" t="s">
        <v>164</v>
      </c>
      <c r="H76" s="23" t="s">
        <v>165</v>
      </c>
    </row>
    <row r="77" customFormat="false" ht="15" hidden="false" customHeight="true" outlineLevel="0" collapsed="false">
      <c r="A77" s="21" t="n">
        <v>75</v>
      </c>
      <c r="B77" s="22" t="n">
        <v>46202</v>
      </c>
      <c r="C77" s="23" t="s">
        <v>106</v>
      </c>
      <c r="D77" s="21"/>
      <c r="E77" s="24" t="s">
        <v>111</v>
      </c>
      <c r="F77" s="24" t="s">
        <v>112</v>
      </c>
      <c r="G77" s="28" t="s">
        <v>161</v>
      </c>
      <c r="H77" s="23" t="s">
        <v>180</v>
      </c>
    </row>
    <row r="78" customFormat="false" ht="15" hidden="false" customHeight="true" outlineLevel="0" collapsed="false">
      <c r="A78" s="21" t="n">
        <v>76</v>
      </c>
      <c r="B78" s="22" t="n">
        <v>46202</v>
      </c>
      <c r="C78" s="23" t="s">
        <v>106</v>
      </c>
      <c r="D78" s="21"/>
      <c r="E78" s="24" t="s">
        <v>113</v>
      </c>
      <c r="F78" s="24" t="s">
        <v>114</v>
      </c>
      <c r="G78" s="28" t="s">
        <v>170</v>
      </c>
      <c r="H78" s="23" t="s">
        <v>157</v>
      </c>
    </row>
    <row r="79" customFormat="false" ht="15" hidden="false" customHeight="true" outlineLevel="0" collapsed="false">
      <c r="A79" s="21" t="n">
        <v>77</v>
      </c>
      <c r="B79" s="22" t="n">
        <v>46203</v>
      </c>
      <c r="C79" s="23" t="s">
        <v>106</v>
      </c>
      <c r="D79" s="21"/>
      <c r="E79" s="24" t="s">
        <v>115</v>
      </c>
      <c r="F79" s="24" t="s">
        <v>116</v>
      </c>
      <c r="G79" s="28" t="s">
        <v>166</v>
      </c>
      <c r="H79" s="23" t="s">
        <v>165</v>
      </c>
    </row>
    <row r="80" customFormat="false" ht="15" hidden="false" customHeight="true" outlineLevel="0" collapsed="false">
      <c r="A80" s="21" t="n">
        <v>78</v>
      </c>
      <c r="B80" s="22" t="n">
        <v>46203</v>
      </c>
      <c r="C80" s="23" t="s">
        <v>106</v>
      </c>
      <c r="D80" s="21"/>
      <c r="E80" s="24" t="s">
        <v>117</v>
      </c>
      <c r="F80" s="24" t="s">
        <v>118</v>
      </c>
      <c r="G80" s="28" t="s">
        <v>159</v>
      </c>
      <c r="H80" s="23" t="s">
        <v>177</v>
      </c>
    </row>
    <row r="81" customFormat="false" ht="15" hidden="false" customHeight="true" outlineLevel="0" collapsed="false">
      <c r="A81" s="21" t="n">
        <v>79</v>
      </c>
      <c r="B81" s="22" t="n">
        <v>46203</v>
      </c>
      <c r="C81" s="23" t="s">
        <v>106</v>
      </c>
      <c r="D81" s="21"/>
      <c r="E81" s="24" t="s">
        <v>119</v>
      </c>
      <c r="F81" s="24" t="s">
        <v>120</v>
      </c>
      <c r="G81" s="28" t="s">
        <v>151</v>
      </c>
      <c r="H81" s="23" t="s">
        <v>157</v>
      </c>
    </row>
    <row r="82" customFormat="false" ht="15" hidden="false" customHeight="true" outlineLevel="0" collapsed="false">
      <c r="A82" s="21" t="n">
        <v>80</v>
      </c>
      <c r="B82" s="22" t="n">
        <v>46204</v>
      </c>
      <c r="C82" s="23" t="s">
        <v>106</v>
      </c>
      <c r="D82" s="21"/>
      <c r="E82" s="24" t="s">
        <v>121</v>
      </c>
      <c r="F82" s="24" t="s">
        <v>122</v>
      </c>
      <c r="G82" s="28" t="s">
        <v>171</v>
      </c>
      <c r="H82" s="23" t="s">
        <v>172</v>
      </c>
    </row>
    <row r="83" customFormat="false" ht="15" hidden="false" customHeight="true" outlineLevel="0" collapsed="false">
      <c r="A83" s="21" t="n">
        <v>81</v>
      </c>
      <c r="B83" s="22" t="n">
        <v>46204</v>
      </c>
      <c r="C83" s="23" t="s">
        <v>106</v>
      </c>
      <c r="D83" s="21"/>
      <c r="E83" s="24" t="s">
        <v>123</v>
      </c>
      <c r="F83" s="24" t="s">
        <v>124</v>
      </c>
      <c r="G83" s="28" t="s">
        <v>173</v>
      </c>
      <c r="H83" s="23" t="s">
        <v>167</v>
      </c>
    </row>
    <row r="84" customFormat="false" ht="15" hidden="false" customHeight="true" outlineLevel="0" collapsed="false">
      <c r="A84" s="21" t="n">
        <v>82</v>
      </c>
      <c r="B84" s="22" t="n">
        <v>46204</v>
      </c>
      <c r="C84" s="23" t="s">
        <v>106</v>
      </c>
      <c r="D84" s="21"/>
      <c r="E84" s="24" t="s">
        <v>125</v>
      </c>
      <c r="F84" s="24" t="s">
        <v>126</v>
      </c>
      <c r="G84" s="28" t="s">
        <v>158</v>
      </c>
      <c r="H84" s="23" t="s">
        <v>176</v>
      </c>
    </row>
    <row r="85" customFormat="false" ht="15" hidden="false" customHeight="true" outlineLevel="0" collapsed="false">
      <c r="A85" s="21" t="n">
        <v>83</v>
      </c>
      <c r="B85" s="22" t="n">
        <v>46205</v>
      </c>
      <c r="C85" s="23" t="s">
        <v>106</v>
      </c>
      <c r="D85" s="21"/>
      <c r="E85" s="24" t="s">
        <v>127</v>
      </c>
      <c r="F85" s="24" t="s">
        <v>128</v>
      </c>
      <c r="G85" s="28" t="s">
        <v>156</v>
      </c>
      <c r="H85" s="23" t="s">
        <v>152</v>
      </c>
    </row>
    <row r="86" customFormat="false" ht="15" hidden="false" customHeight="true" outlineLevel="0" collapsed="false">
      <c r="A86" s="21" t="n">
        <v>84</v>
      </c>
      <c r="B86" s="22" t="n">
        <v>46205</v>
      </c>
      <c r="C86" s="23" t="s">
        <v>106</v>
      </c>
      <c r="D86" s="21"/>
      <c r="E86" s="24" t="s">
        <v>129</v>
      </c>
      <c r="F86" s="24" t="s">
        <v>130</v>
      </c>
      <c r="G86" s="28" t="s">
        <v>155</v>
      </c>
      <c r="H86" s="23" t="s">
        <v>169</v>
      </c>
    </row>
    <row r="87" customFormat="false" ht="15" hidden="false" customHeight="true" outlineLevel="0" collapsed="false">
      <c r="A87" s="21" t="n">
        <v>85</v>
      </c>
      <c r="B87" s="22" t="n">
        <v>46205</v>
      </c>
      <c r="C87" s="23" t="s">
        <v>106</v>
      </c>
      <c r="D87" s="21"/>
      <c r="E87" s="24" t="s">
        <v>131</v>
      </c>
      <c r="F87" s="24" t="s">
        <v>132</v>
      </c>
      <c r="G87" s="28" t="s">
        <v>162</v>
      </c>
      <c r="H87" s="23" t="s">
        <v>178</v>
      </c>
    </row>
    <row r="88" customFormat="false" ht="15" hidden="false" customHeight="true" outlineLevel="0" collapsed="false">
      <c r="A88" s="21" t="n">
        <v>86</v>
      </c>
      <c r="B88" s="22" t="n">
        <v>46206</v>
      </c>
      <c r="C88" s="23" t="s">
        <v>106</v>
      </c>
      <c r="D88" s="21"/>
      <c r="E88" s="24" t="s">
        <v>133</v>
      </c>
      <c r="F88" s="24" t="s">
        <v>134</v>
      </c>
      <c r="G88" s="28" t="s">
        <v>166</v>
      </c>
      <c r="H88" s="23" t="s">
        <v>181</v>
      </c>
    </row>
    <row r="89" customFormat="false" ht="15" hidden="false" customHeight="true" outlineLevel="0" collapsed="false">
      <c r="A89" s="21" t="n">
        <v>87</v>
      </c>
      <c r="B89" s="22" t="n">
        <v>46206</v>
      </c>
      <c r="C89" s="23" t="s">
        <v>106</v>
      </c>
      <c r="D89" s="21"/>
      <c r="E89" s="24" t="s">
        <v>135</v>
      </c>
      <c r="F89" s="24" t="s">
        <v>136</v>
      </c>
      <c r="G89" s="28" t="s">
        <v>174</v>
      </c>
      <c r="H89" s="23" t="s">
        <v>160</v>
      </c>
    </row>
    <row r="90" customFormat="false" ht="15" hidden="false" customHeight="true" outlineLevel="0" collapsed="false">
      <c r="A90" s="21" t="n">
        <v>88</v>
      </c>
      <c r="B90" s="22" t="n">
        <v>46206</v>
      </c>
      <c r="C90" s="23" t="s">
        <v>106</v>
      </c>
      <c r="D90" s="21"/>
      <c r="E90" s="24" t="s">
        <v>137</v>
      </c>
      <c r="F90" s="24" t="s">
        <v>132</v>
      </c>
      <c r="G90" s="28" t="s">
        <v>175</v>
      </c>
      <c r="H90" s="23" t="s">
        <v>182</v>
      </c>
    </row>
    <row r="91" customFormat="false" ht="15" hidden="false" customHeight="true" outlineLevel="0" collapsed="false">
      <c r="A91" s="21" t="n">
        <v>89</v>
      </c>
      <c r="B91" s="22" t="n">
        <v>46207</v>
      </c>
      <c r="C91" s="23" t="s">
        <v>138</v>
      </c>
      <c r="D91" s="21"/>
      <c r="E91" s="24" t="s">
        <v>139</v>
      </c>
      <c r="F91" s="24" t="s">
        <v>139</v>
      </c>
      <c r="G91" s="28" t="s">
        <v>164</v>
      </c>
      <c r="H91" s="23" t="s">
        <v>165</v>
      </c>
    </row>
    <row r="92" customFormat="false" ht="15" hidden="false" customHeight="true" outlineLevel="0" collapsed="false">
      <c r="A92" s="21" t="n">
        <v>90</v>
      </c>
      <c r="B92" s="22" t="n">
        <v>46207</v>
      </c>
      <c r="C92" s="23" t="s">
        <v>138</v>
      </c>
      <c r="D92" s="21"/>
      <c r="E92" s="24" t="s">
        <v>139</v>
      </c>
      <c r="F92" s="24" t="s">
        <v>139</v>
      </c>
      <c r="G92" s="28" t="s">
        <v>168</v>
      </c>
      <c r="H92" s="23" t="s">
        <v>177</v>
      </c>
    </row>
    <row r="93" customFormat="false" ht="15" hidden="false" customHeight="true" outlineLevel="0" collapsed="false">
      <c r="A93" s="21" t="n">
        <v>91</v>
      </c>
      <c r="B93" s="22" t="n">
        <v>46208</v>
      </c>
      <c r="C93" s="23" t="s">
        <v>138</v>
      </c>
      <c r="D93" s="21"/>
      <c r="E93" s="24" t="s">
        <v>139</v>
      </c>
      <c r="F93" s="24" t="s">
        <v>139</v>
      </c>
      <c r="G93" s="28" t="s">
        <v>159</v>
      </c>
      <c r="H93" s="23" t="s">
        <v>167</v>
      </c>
    </row>
    <row r="94" customFormat="false" ht="15" hidden="false" customHeight="true" outlineLevel="0" collapsed="false">
      <c r="A94" s="21" t="n">
        <v>92</v>
      </c>
      <c r="B94" s="22" t="n">
        <v>46208</v>
      </c>
      <c r="C94" s="23" t="s">
        <v>138</v>
      </c>
      <c r="D94" s="21"/>
      <c r="E94" s="24" t="s">
        <v>139</v>
      </c>
      <c r="F94" s="24" t="s">
        <v>139</v>
      </c>
      <c r="G94" s="28" t="s">
        <v>151</v>
      </c>
      <c r="H94" s="23" t="s">
        <v>176</v>
      </c>
    </row>
    <row r="95" customFormat="false" ht="15" hidden="false" customHeight="true" outlineLevel="0" collapsed="false">
      <c r="A95" s="21" t="n">
        <v>93</v>
      </c>
      <c r="B95" s="22" t="n">
        <v>46209</v>
      </c>
      <c r="C95" s="23" t="s">
        <v>138</v>
      </c>
      <c r="D95" s="21"/>
      <c r="E95" s="24" t="s">
        <v>139</v>
      </c>
      <c r="F95" s="24" t="s">
        <v>139</v>
      </c>
      <c r="G95" s="28" t="s">
        <v>166</v>
      </c>
      <c r="H95" s="23" t="s">
        <v>152</v>
      </c>
    </row>
    <row r="96" customFormat="false" ht="15" hidden="false" customHeight="true" outlineLevel="0" collapsed="false">
      <c r="A96" s="21" t="n">
        <v>94</v>
      </c>
      <c r="B96" s="22" t="n">
        <v>46209</v>
      </c>
      <c r="C96" s="23" t="s">
        <v>138</v>
      </c>
      <c r="D96" s="21"/>
      <c r="E96" s="24" t="s">
        <v>139</v>
      </c>
      <c r="F96" s="24" t="s">
        <v>139</v>
      </c>
      <c r="G96" s="28" t="s">
        <v>173</v>
      </c>
      <c r="H96" s="23" t="s">
        <v>176</v>
      </c>
    </row>
    <row r="97" customFormat="false" ht="15" hidden="false" customHeight="true" outlineLevel="0" collapsed="false">
      <c r="A97" s="21" t="n">
        <v>95</v>
      </c>
      <c r="B97" s="22" t="n">
        <v>46210</v>
      </c>
      <c r="C97" s="23" t="s">
        <v>138</v>
      </c>
      <c r="D97" s="21"/>
      <c r="E97" s="24" t="s">
        <v>139</v>
      </c>
      <c r="F97" s="24" t="s">
        <v>139</v>
      </c>
      <c r="G97" s="28" t="s">
        <v>171</v>
      </c>
      <c r="H97" s="23" t="s">
        <v>172</v>
      </c>
    </row>
    <row r="98" customFormat="false" ht="15" hidden="false" customHeight="true" outlineLevel="0" collapsed="false">
      <c r="A98" s="21" t="n">
        <v>96</v>
      </c>
      <c r="B98" s="22" t="n">
        <v>46210</v>
      </c>
      <c r="C98" s="23" t="s">
        <v>138</v>
      </c>
      <c r="D98" s="21"/>
      <c r="E98" s="24" t="s">
        <v>139</v>
      </c>
      <c r="F98" s="24" t="s">
        <v>139</v>
      </c>
      <c r="G98" s="28" t="s">
        <v>162</v>
      </c>
      <c r="H98" s="23" t="s">
        <v>167</v>
      </c>
    </row>
    <row r="99" customFormat="false" ht="15" hidden="false" customHeight="true" outlineLevel="0" collapsed="false">
      <c r="A99" s="21" t="n">
        <v>97</v>
      </c>
      <c r="B99" s="22" t="n">
        <v>46212</v>
      </c>
      <c r="C99" s="23" t="s">
        <v>140</v>
      </c>
      <c r="D99" s="21"/>
      <c r="E99" s="24" t="s">
        <v>139</v>
      </c>
      <c r="F99" s="24" t="s">
        <v>139</v>
      </c>
      <c r="G99" s="28" t="s">
        <v>161</v>
      </c>
      <c r="H99" s="23" t="s">
        <v>167</v>
      </c>
    </row>
    <row r="100" customFormat="false" ht="15" hidden="false" customHeight="true" outlineLevel="0" collapsed="false">
      <c r="A100" s="21" t="n">
        <v>98</v>
      </c>
      <c r="B100" s="22" t="n">
        <v>46213</v>
      </c>
      <c r="C100" s="23" t="s">
        <v>140</v>
      </c>
      <c r="D100" s="21"/>
      <c r="E100" s="24" t="s">
        <v>139</v>
      </c>
      <c r="F100" s="24" t="s">
        <v>139</v>
      </c>
      <c r="G100" s="28" t="s">
        <v>156</v>
      </c>
      <c r="H100" s="23" t="s">
        <v>152</v>
      </c>
    </row>
    <row r="101" customFormat="false" ht="15" hidden="false" customHeight="true" outlineLevel="0" collapsed="false">
      <c r="A101" s="21" t="n">
        <v>99</v>
      </c>
      <c r="B101" s="22" t="n">
        <v>46214</v>
      </c>
      <c r="C101" s="23" t="s">
        <v>140</v>
      </c>
      <c r="D101" s="21"/>
      <c r="E101" s="24" t="s">
        <v>139</v>
      </c>
      <c r="F101" s="24" t="s">
        <v>139</v>
      </c>
      <c r="G101" s="28" t="s">
        <v>174</v>
      </c>
      <c r="H101" s="23" t="s">
        <v>177</v>
      </c>
    </row>
    <row r="102" customFormat="false" ht="15" hidden="false" customHeight="true" outlineLevel="0" collapsed="false">
      <c r="A102" s="21" t="n">
        <v>100</v>
      </c>
      <c r="B102" s="22" t="n">
        <v>46214</v>
      </c>
      <c r="C102" s="23" t="s">
        <v>140</v>
      </c>
      <c r="D102" s="21"/>
      <c r="E102" s="24" t="s">
        <v>139</v>
      </c>
      <c r="F102" s="24" t="s">
        <v>139</v>
      </c>
      <c r="G102" s="28" t="s">
        <v>175</v>
      </c>
      <c r="H102" s="23" t="s">
        <v>157</v>
      </c>
    </row>
    <row r="103" customFormat="false" ht="15" hidden="false" customHeight="true" outlineLevel="0" collapsed="false">
      <c r="A103" s="21" t="n">
        <v>101</v>
      </c>
      <c r="B103" s="22" t="n">
        <v>46217</v>
      </c>
      <c r="C103" s="23" t="s">
        <v>141</v>
      </c>
      <c r="D103" s="21"/>
      <c r="E103" s="24" t="s">
        <v>139</v>
      </c>
      <c r="F103" s="24" t="s">
        <v>139</v>
      </c>
      <c r="G103" s="28" t="s">
        <v>166</v>
      </c>
      <c r="H103" s="23" t="s">
        <v>152</v>
      </c>
    </row>
    <row r="104" customFormat="false" ht="15" hidden="false" customHeight="true" outlineLevel="0" collapsed="false">
      <c r="A104" s="21" t="n">
        <v>102</v>
      </c>
      <c r="B104" s="22" t="n">
        <v>46218</v>
      </c>
      <c r="C104" s="23" t="s">
        <v>141</v>
      </c>
      <c r="D104" s="21"/>
      <c r="E104" s="24" t="s">
        <v>139</v>
      </c>
      <c r="F104" s="24" t="s">
        <v>139</v>
      </c>
      <c r="G104" s="28" t="s">
        <v>171</v>
      </c>
      <c r="H104" s="23" t="s">
        <v>152</v>
      </c>
    </row>
    <row r="105" customFormat="false" ht="15" hidden="false" customHeight="true" outlineLevel="0" collapsed="false">
      <c r="A105" s="21" t="n">
        <v>103</v>
      </c>
      <c r="B105" s="22" t="n">
        <v>46221</v>
      </c>
      <c r="C105" s="23" t="s">
        <v>142</v>
      </c>
      <c r="D105" s="21"/>
      <c r="E105" s="24" t="s">
        <v>143</v>
      </c>
      <c r="F105" s="24" t="s">
        <v>144</v>
      </c>
      <c r="G105" s="28" t="s">
        <v>174</v>
      </c>
      <c r="H105" s="23" t="s">
        <v>177</v>
      </c>
    </row>
    <row r="106" customFormat="false" ht="15" hidden="false" customHeight="true" outlineLevel="0" collapsed="false">
      <c r="A106" s="21" t="n">
        <v>104</v>
      </c>
      <c r="B106" s="22" t="n">
        <v>46222</v>
      </c>
      <c r="C106" s="23" t="s">
        <v>145</v>
      </c>
      <c r="D106" s="21"/>
      <c r="E106" s="24" t="s">
        <v>146</v>
      </c>
      <c r="F106" s="24" t="s">
        <v>147</v>
      </c>
      <c r="G106" s="28" t="s">
        <v>159</v>
      </c>
      <c r="H106" s="23" t="s">
        <v>152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7" min="2" style="0" width="14"/>
    <col collapsed="false" customWidth="true" hidden="false" outlineLevel="0" max="11" min="8" style="0" width="7"/>
  </cols>
  <sheetData>
    <row r="1" customFormat="false" ht="25.5" hidden="false" customHeight="true" outlineLevel="0" collapsed="false">
      <c r="A1" s="4" t="s">
        <v>183</v>
      </c>
      <c r="B1" s="4"/>
      <c r="C1" s="4"/>
      <c r="D1" s="4"/>
      <c r="E1" s="4"/>
      <c r="F1" s="4"/>
      <c r="G1" s="4"/>
      <c r="H1" s="4"/>
      <c r="I1" s="4"/>
      <c r="J1" s="4"/>
      <c r="K1" s="4"/>
    </row>
    <row r="3" customFormat="false" ht="15" hidden="false" customHeight="true" outlineLevel="0" collapsed="false">
      <c r="B3" s="29" t="s">
        <v>184</v>
      </c>
    </row>
    <row r="4" customFormat="false" ht="15" hidden="false" customHeight="true" outlineLevel="0" collapsed="false">
      <c r="B4" s="30" t="s">
        <v>185</v>
      </c>
      <c r="C4" s="31"/>
    </row>
    <row r="5" customFormat="false" ht="15" hidden="false" customHeight="true" outlineLevel="0" collapsed="false">
      <c r="B5" s="30" t="s">
        <v>186</v>
      </c>
      <c r="C5" s="31"/>
    </row>
    <row r="6" customFormat="false" ht="15" hidden="false" customHeight="true" outlineLevel="0" collapsed="false">
      <c r="B6" s="30" t="s">
        <v>187</v>
      </c>
      <c r="C6" s="31"/>
      <c r="D6" s="31"/>
      <c r="E6" s="31"/>
      <c r="F6" s="31"/>
    </row>
    <row r="8" customFormat="false" ht="21.75" hidden="false" customHeight="true" outlineLevel="0" collapsed="false">
      <c r="A8" s="32" t="s">
        <v>188</v>
      </c>
      <c r="B8" s="32" t="s">
        <v>185</v>
      </c>
      <c r="C8" s="32" t="s">
        <v>186</v>
      </c>
      <c r="D8" s="32" t="s">
        <v>189</v>
      </c>
      <c r="E8" s="32" t="s">
        <v>190</v>
      </c>
      <c r="F8" s="32" t="s">
        <v>191</v>
      </c>
      <c r="G8" s="32" t="s">
        <v>192</v>
      </c>
      <c r="H8" s="33" t="s">
        <v>193</v>
      </c>
      <c r="I8" s="33" t="s">
        <v>194</v>
      </c>
      <c r="J8" s="33" t="s">
        <v>195</v>
      </c>
      <c r="K8" s="33" t="s">
        <v>196</v>
      </c>
    </row>
    <row r="9" customFormat="false" ht="15" hidden="false" customHeight="true" outlineLevel="0" collapsed="false">
      <c r="A9" s="34" t="str">
        <f aca="false">'Match Predictions'!I2</f>
        <v>Ewan</v>
      </c>
      <c r="B9" s="35" t="s">
        <v>77</v>
      </c>
      <c r="C9" s="35"/>
      <c r="D9" s="35"/>
      <c r="E9" s="35"/>
      <c r="F9" s="35"/>
      <c r="G9" s="35"/>
      <c r="H9" s="36" t="n">
        <f aca="false">IF(AND(B9&lt;&gt;"",B9=$C$4),25,0)</f>
        <v>0</v>
      </c>
      <c r="I9" s="36" t="n">
        <f aca="false">IF(AND(C9&lt;&gt;"",C9=$C$5),15,0)</f>
        <v>0</v>
      </c>
      <c r="J9" s="36" t="n">
        <f aca="false">IF(AND(D9&lt;&gt;"",COUNTIF($C$6:$F$6,D9)&gt;0),10,0)+IF(AND(E9&lt;&gt;"",COUNTIF($C$6:$F$6,E9)&gt;0),10,0)+IF(AND(F9&lt;&gt;"",COUNTIF($C$6:$F$6,F9)&gt;0),10,0)+IF(AND(G9&lt;&gt;"",COUNTIF($C$6:$F$6,G9)&gt;0),10,0)</f>
        <v>0</v>
      </c>
      <c r="K9" s="15" t="n">
        <f aca="false">SUM(H9:J9)</f>
        <v>0</v>
      </c>
    </row>
    <row r="10" customFormat="false" ht="15" hidden="false" customHeight="true" outlineLevel="0" collapsed="false">
      <c r="A10" s="37" t="str">
        <f aca="false">'Match Predictions'!L2</f>
        <v>Nana</v>
      </c>
      <c r="B10" s="35" t="s">
        <v>87</v>
      </c>
      <c r="C10" s="35"/>
      <c r="D10" s="35"/>
      <c r="E10" s="35"/>
      <c r="F10" s="35"/>
      <c r="G10" s="35"/>
      <c r="H10" s="38" t="n">
        <f aca="false">IF(AND(B10&lt;&gt;"",B10=$C$4),25,0)</f>
        <v>0</v>
      </c>
      <c r="I10" s="38" t="n">
        <f aca="false">IF(AND(C10&lt;&gt;"",C10=$C$5),15,0)</f>
        <v>0</v>
      </c>
      <c r="J10" s="38" t="n">
        <f aca="false">IF(AND(D10&lt;&gt;"",COUNTIF($C$6:$F$6,D10)&gt;0),10,0)+IF(AND(E10&lt;&gt;"",COUNTIF($C$6:$F$6,E10)&gt;0),10,0)+IF(AND(F10&lt;&gt;"",COUNTIF($C$6:$F$6,F10)&gt;0),10,0)+IF(AND(G10&lt;&gt;"",COUNTIF($C$6:$F$6,G10)&gt;0),10,0)</f>
        <v>0</v>
      </c>
      <c r="K10" s="20" t="n">
        <f aca="false">SUM(H10:J10)</f>
        <v>0</v>
      </c>
    </row>
    <row r="11" customFormat="false" ht="15" hidden="false" customHeight="true" outlineLevel="0" collapsed="false">
      <c r="A11" s="34" t="str">
        <f aca="false">'Match Predictions'!O2</f>
        <v>Emrys</v>
      </c>
      <c r="B11" s="35"/>
      <c r="C11" s="35"/>
      <c r="D11" s="35"/>
      <c r="E11" s="35"/>
      <c r="F11" s="35"/>
      <c r="G11" s="35"/>
      <c r="H11" s="36" t="n">
        <f aca="false">IF(AND(B11&lt;&gt;"",B11=$C$4),25,0)</f>
        <v>0</v>
      </c>
      <c r="I11" s="36" t="n">
        <f aca="false">IF(AND(C11&lt;&gt;"",C11=$C$5),15,0)</f>
        <v>0</v>
      </c>
      <c r="J11" s="36" t="n">
        <f aca="false">IF(AND(D11&lt;&gt;"",COUNTIF($C$6:$F$6,D11)&gt;0),10,0)+IF(AND(E11&lt;&gt;"",COUNTIF($C$6:$F$6,E11)&gt;0),10,0)+IF(AND(F11&lt;&gt;"",COUNTIF($C$6:$F$6,F11)&gt;0),10,0)+IF(AND(G11&lt;&gt;"",COUNTIF($C$6:$F$6,G11)&gt;0),10,0)</f>
        <v>0</v>
      </c>
      <c r="K11" s="15" t="n">
        <f aca="false">SUM(H11:J11)</f>
        <v>0</v>
      </c>
    </row>
    <row r="12" customFormat="false" ht="15" hidden="false" customHeight="true" outlineLevel="0" collapsed="false">
      <c r="A12" s="37" t="str">
        <f aca="false">'Match Predictions'!R2</f>
        <v>Nonno</v>
      </c>
      <c r="B12" s="35" t="s">
        <v>60</v>
      </c>
      <c r="C12" s="35"/>
      <c r="D12" s="35"/>
      <c r="E12" s="35"/>
      <c r="F12" s="35"/>
      <c r="G12" s="35"/>
      <c r="H12" s="38" t="n">
        <f aca="false">IF(AND(B12&lt;&gt;"",B12=$C$4),25,0)</f>
        <v>0</v>
      </c>
      <c r="I12" s="38" t="n">
        <f aca="false">IF(AND(C12&lt;&gt;"",C12=$C$5),15,0)</f>
        <v>0</v>
      </c>
      <c r="J12" s="38" t="n">
        <f aca="false">IF(AND(D12&lt;&gt;"",COUNTIF($C$6:$F$6,D12)&gt;0),10,0)+IF(AND(E12&lt;&gt;"",COUNTIF($C$6:$F$6,E12)&gt;0),10,0)+IF(AND(F12&lt;&gt;"",COUNTIF($C$6:$F$6,F12)&gt;0),10,0)+IF(AND(G12&lt;&gt;"",COUNTIF($C$6:$F$6,G12)&gt;0),10,0)</f>
        <v>0</v>
      </c>
      <c r="K12" s="20" t="n">
        <f aca="false">SUM(H12:J12)</f>
        <v>0</v>
      </c>
    </row>
    <row r="13" customFormat="false" ht="15" hidden="false" customHeight="true" outlineLevel="0" collapsed="false">
      <c r="A13" s="34" t="str">
        <f aca="false">'Match Predictions'!U2</f>
        <v>Nonna</v>
      </c>
      <c r="B13" s="35"/>
      <c r="C13" s="35"/>
      <c r="D13" s="35"/>
      <c r="E13" s="35"/>
      <c r="F13" s="35"/>
      <c r="G13" s="35"/>
      <c r="H13" s="36" t="n">
        <f aca="false">IF(AND(B13&lt;&gt;"",B13=$C$4),25,0)</f>
        <v>0</v>
      </c>
      <c r="I13" s="36" t="n">
        <f aca="false">IF(AND(C13&lt;&gt;"",C13=$C$5),15,0)</f>
        <v>0</v>
      </c>
      <c r="J13" s="36" t="n">
        <f aca="false">IF(AND(D13&lt;&gt;"",COUNTIF($C$6:$F$6,D13)&gt;0),10,0)+IF(AND(E13&lt;&gt;"",COUNTIF($C$6:$F$6,E13)&gt;0),10,0)+IF(AND(F13&lt;&gt;"",COUNTIF($C$6:$F$6,F13)&gt;0),10,0)+IF(AND(G13&lt;&gt;"",COUNTIF($C$6:$F$6,G13)&gt;0),10,0)</f>
        <v>0</v>
      </c>
      <c r="K13" s="15" t="n">
        <f aca="false">SUM(H13:J13)</f>
        <v>0</v>
      </c>
    </row>
    <row r="14" customFormat="false" ht="15" hidden="false" customHeight="true" outlineLevel="0" collapsed="false">
      <c r="A14" s="37" t="str">
        <f aca="false">'Match Predictions'!X2</f>
        <v>Boompa</v>
      </c>
      <c r="B14" s="35" t="s">
        <v>87</v>
      </c>
      <c r="C14" s="35"/>
      <c r="D14" s="35"/>
      <c r="E14" s="35"/>
      <c r="F14" s="35"/>
      <c r="G14" s="35"/>
      <c r="H14" s="38" t="n">
        <f aca="false">IF(AND(B14&lt;&gt;"",B14=$C$4),25,0)</f>
        <v>0</v>
      </c>
      <c r="I14" s="38" t="n">
        <f aca="false">IF(AND(C14&lt;&gt;"",C14=$C$5),15,0)</f>
        <v>0</v>
      </c>
      <c r="J14" s="38" t="n">
        <f aca="false">IF(AND(D14&lt;&gt;"",COUNTIF($C$6:$F$6,D14)&gt;0),10,0)+IF(AND(E14&lt;&gt;"",COUNTIF($C$6:$F$6,E14)&gt;0),10,0)+IF(AND(F14&lt;&gt;"",COUNTIF($C$6:$F$6,F14)&gt;0),10,0)+IF(AND(G14&lt;&gt;"",COUNTIF($C$6:$F$6,G14)&gt;0),10,0)</f>
        <v>0</v>
      </c>
      <c r="K14" s="20" t="n">
        <f aca="false">SUM(H14:J14)</f>
        <v>0</v>
      </c>
    </row>
    <row r="15" customFormat="false" ht="15" hidden="false" customHeight="true" outlineLevel="0" collapsed="false">
      <c r="A15" s="34" t="str">
        <f aca="false">'Match Predictions'!AA2</f>
        <v>Xavier</v>
      </c>
      <c r="B15" s="35"/>
      <c r="C15" s="35"/>
      <c r="D15" s="35"/>
      <c r="E15" s="35"/>
      <c r="F15" s="35"/>
      <c r="G15" s="35"/>
      <c r="H15" s="36" t="n">
        <f aca="false">IF(AND(B15&lt;&gt;"",B15=$C$4),25,0)</f>
        <v>0</v>
      </c>
      <c r="I15" s="36" t="n">
        <f aca="false">IF(AND(C15&lt;&gt;"",C15=$C$5),15,0)</f>
        <v>0</v>
      </c>
      <c r="J15" s="36" t="n">
        <f aca="false">IF(AND(D15&lt;&gt;"",COUNTIF($C$6:$F$6,D15)&gt;0),10,0)+IF(AND(E15&lt;&gt;"",COUNTIF($C$6:$F$6,E15)&gt;0),10,0)+IF(AND(F15&lt;&gt;"",COUNTIF($C$6:$F$6,F15)&gt;0),10,0)+IF(AND(G15&lt;&gt;"",COUNTIF($C$6:$F$6,G15)&gt;0),10,0)</f>
        <v>0</v>
      </c>
      <c r="K15" s="15" t="n">
        <f aca="false">SUM(H15:J15)</f>
        <v>0</v>
      </c>
    </row>
    <row r="16" customFormat="false" ht="15" hidden="false" customHeight="true" outlineLevel="0" collapsed="false">
      <c r="A16" s="37" t="str">
        <f aca="false">'Match Predictions'!AD2</f>
        <v>Autumn</v>
      </c>
      <c r="B16" s="35"/>
      <c r="C16" s="35"/>
      <c r="D16" s="35"/>
      <c r="E16" s="35"/>
      <c r="F16" s="35"/>
      <c r="G16" s="35"/>
      <c r="H16" s="38" t="n">
        <f aca="false">IF(AND(B16&lt;&gt;"",B16=$C$4),25,0)</f>
        <v>0</v>
      </c>
      <c r="I16" s="38" t="n">
        <f aca="false">IF(AND(C16&lt;&gt;"",C16=$C$5),15,0)</f>
        <v>0</v>
      </c>
      <c r="J16" s="38" t="n">
        <f aca="false">IF(AND(D16&lt;&gt;"",COUNTIF($C$6:$F$6,D16)&gt;0),10,0)+IF(AND(E16&lt;&gt;"",COUNTIF($C$6:$F$6,E16)&gt;0),10,0)+IF(AND(F16&lt;&gt;"",COUNTIF($C$6:$F$6,F16)&gt;0),10,0)+IF(AND(G16&lt;&gt;"",COUNTIF($C$6:$F$6,G16)&gt;0),10,0)</f>
        <v>0</v>
      </c>
      <c r="K16" s="20" t="n">
        <f aca="false">SUM(H16:J16)</f>
        <v>0</v>
      </c>
    </row>
    <row r="17" customFormat="false" ht="14.25" hidden="false" customHeight="false" outlineLevel="0" collapsed="false">
      <c r="A17" s="37" t="str">
        <f aca="false">'Match Predictions'!AG2</f>
        <v>River</v>
      </c>
      <c r="B17" s="35"/>
      <c r="C17" s="35"/>
      <c r="D17" s="35"/>
      <c r="E17" s="35"/>
      <c r="F17" s="35"/>
      <c r="G17" s="35"/>
      <c r="H17" s="38" t="n">
        <f aca="false">IF(AND(B17&lt;&gt;"",B17=$C$4),25,0)</f>
        <v>0</v>
      </c>
      <c r="I17" s="38" t="n">
        <f aca="false">IF(AND(C17&lt;&gt;"",C17=$C$5),15,0)</f>
        <v>0</v>
      </c>
      <c r="J17" s="38" t="n">
        <f aca="false">IF(AND(D17&lt;&gt;"",COUNTIF($C$6:$F$6,D17)&gt;0),10,0)+IF(AND(E17&lt;&gt;"",COUNTIF($C$6:$F$6,E17)&gt;0),10,0)+IF(AND(F17&lt;&gt;"",COUNTIF($C$6:$F$6,F17)&gt;0),10,0)+IF(AND(G17&lt;&gt;"",COUNTIF($C$6:$F$6,G17)&gt;0),10,0)</f>
        <v>0</v>
      </c>
      <c r="K17" s="20" t="n">
        <f aca="false">SUM(H17:J17)</f>
        <v>0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8" min="3" style="0" width="11"/>
    <col collapsed="false" customWidth="true" hidden="false" outlineLevel="0" max="9" min="9" style="0" width="15"/>
  </cols>
  <sheetData>
    <row r="1" customFormat="false" ht="30" hidden="false" customHeight="true" outlineLevel="0" collapsed="false">
      <c r="A1" s="39" t="s">
        <v>197</v>
      </c>
      <c r="B1" s="39"/>
      <c r="C1" s="39"/>
      <c r="D1" s="39"/>
      <c r="E1" s="39"/>
      <c r="F1" s="39"/>
      <c r="G1" s="39"/>
      <c r="H1" s="39"/>
      <c r="I1" s="39"/>
    </row>
    <row r="2" customFormat="false" ht="15" hidden="false" customHeight="true" outlineLevel="0" collapsed="false">
      <c r="A2" s="40" t="s">
        <v>198</v>
      </c>
    </row>
    <row r="3" customFormat="false" ht="24" hidden="false" customHeight="true" outlineLevel="0" collapsed="false">
      <c r="A3" s="32" t="s">
        <v>199</v>
      </c>
      <c r="B3" s="32" t="s">
        <v>188</v>
      </c>
      <c r="C3" s="32" t="s">
        <v>200</v>
      </c>
      <c r="D3" s="32" t="s">
        <v>201</v>
      </c>
      <c r="E3" s="33" t="s">
        <v>202</v>
      </c>
      <c r="F3" s="32" t="s">
        <v>203</v>
      </c>
      <c r="G3" s="32" t="s">
        <v>204</v>
      </c>
      <c r="H3" s="32" t="s">
        <v>205</v>
      </c>
      <c r="I3" s="32" t="s">
        <v>206</v>
      </c>
    </row>
    <row r="4" customFormat="false" ht="15" hidden="false" customHeight="true" outlineLevel="0" collapsed="false">
      <c r="A4" s="41" t="n">
        <f aca="false">RANK(E4,$E$4:$E$12)</f>
        <v>3</v>
      </c>
      <c r="B4" s="34" t="str">
        <f aca="false">'Match Predictions'!I2</f>
        <v>Ewan</v>
      </c>
      <c r="C4" s="36" t="n">
        <f aca="false">'Tournament Picks'!K9</f>
        <v>0</v>
      </c>
      <c r="D4" s="36" t="n">
        <f aca="false">SUM('Match Predictions'!K4:K107)</f>
        <v>14</v>
      </c>
      <c r="E4" s="42" t="n">
        <f aca="false">C4+D4</f>
        <v>14</v>
      </c>
      <c r="F4" s="36" t="n">
        <f aca="false">COUNTIF('Match Predictions'!K4:K107,8)</f>
        <v>1</v>
      </c>
      <c r="G4" s="36" t="n">
        <f aca="false">COUNTIF('Match Predictions'!K4:K107,"&gt;=3")</f>
        <v>3</v>
      </c>
      <c r="H4" s="43" t="n">
        <f aca="false">IF(SUMPRODUCT(('Match Predictions'!I4:I107&lt;&gt;"")*('Match Predictions'!$G$4:$G$107&lt;&gt;""))=0,"",G4/SUMPRODUCT(('Match Predictions'!I4:I107&lt;&gt;"")*('Match Predictions'!$G$4:$G$107&lt;&gt;"")))</f>
        <v>0.75</v>
      </c>
      <c r="I4" s="13" t="str">
        <f aca="false">'Tournament Picks'!B9</f>
        <v>Spain</v>
      </c>
    </row>
    <row r="5" customFormat="false" ht="15" hidden="false" customHeight="true" outlineLevel="0" collapsed="false">
      <c r="A5" s="44" t="n">
        <f aca="false">RANK(E5,$E$4:$E$12)</f>
        <v>3</v>
      </c>
      <c r="B5" s="30" t="str">
        <f aca="false">'Match Predictions'!L2</f>
        <v>Nana</v>
      </c>
      <c r="C5" s="45" t="n">
        <f aca="false">'Tournament Picks'!K10</f>
        <v>0</v>
      </c>
      <c r="D5" s="45" t="n">
        <f aca="false">SUM('Match Predictions'!N4:N107)</f>
        <v>14</v>
      </c>
      <c r="E5" s="46" t="n">
        <f aca="false">C5+D5</f>
        <v>14</v>
      </c>
      <c r="F5" s="45" t="n">
        <f aca="false">COUNTIF('Match Predictions'!N4:N107,8)</f>
        <v>1</v>
      </c>
      <c r="G5" s="45" t="n">
        <f aca="false">COUNTIF('Match Predictions'!N4:N107,"&gt;=3")</f>
        <v>3</v>
      </c>
      <c r="H5" s="47" t="n">
        <f aca="false">IF(SUMPRODUCT(('Match Predictions'!L4:L107&lt;&gt;"")*('Match Predictions'!$G$4:$G$107&lt;&gt;""))=0,"",G5/SUMPRODUCT(('Match Predictions'!L4:L107&lt;&gt;"")*('Match Predictions'!$G$4:$G$107&lt;&gt;"")))</f>
        <v>0.75</v>
      </c>
      <c r="I5" s="48" t="str">
        <f aca="false">'Tournament Picks'!B10</f>
        <v>France</v>
      </c>
    </row>
    <row r="6" customFormat="false" ht="15" hidden="false" customHeight="true" outlineLevel="0" collapsed="false">
      <c r="A6" s="41" t="n">
        <f aca="false">RANK(E6,$E$4:$E$12)</f>
        <v>6</v>
      </c>
      <c r="B6" s="34" t="str">
        <f aca="false">'Match Predictions'!O2</f>
        <v>Emrys</v>
      </c>
      <c r="C6" s="36" t="n">
        <f aca="false">'Tournament Picks'!K11</f>
        <v>0</v>
      </c>
      <c r="D6" s="36" t="n">
        <f aca="false">SUM('Match Predictions'!Q4:Q107)</f>
        <v>9</v>
      </c>
      <c r="E6" s="42" t="n">
        <f aca="false">C6+D6</f>
        <v>9</v>
      </c>
      <c r="F6" s="36" t="n">
        <f aca="false">COUNTIF('Match Predictions'!Q4:Q107,8)</f>
        <v>0</v>
      </c>
      <c r="G6" s="36" t="n">
        <f aca="false">COUNTIF('Match Predictions'!Q4:Q107,"&gt;=3")</f>
        <v>3</v>
      </c>
      <c r="H6" s="43" t="n">
        <f aca="false">IF(SUMPRODUCT(('Match Predictions'!O4:O107&lt;&gt;"")*('Match Predictions'!$G$4:$G$107&lt;&gt;""))=0,"",G6/SUMPRODUCT(('Match Predictions'!O4:O107&lt;&gt;"")*('Match Predictions'!$G$4:$G$107&lt;&gt;"")))</f>
        <v>0.75</v>
      </c>
      <c r="I6" s="13" t="n">
        <f aca="false">'Tournament Picks'!B11</f>
        <v>0</v>
      </c>
    </row>
    <row r="7" customFormat="false" ht="15" hidden="false" customHeight="true" outlineLevel="0" collapsed="false">
      <c r="A7" s="44" t="n">
        <f aca="false">RANK(E7,$E$4:$E$12)</f>
        <v>3</v>
      </c>
      <c r="B7" s="30" t="str">
        <f aca="false">'Match Predictions'!R2</f>
        <v>Nonno</v>
      </c>
      <c r="C7" s="45" t="n">
        <f aca="false">'Tournament Picks'!K12</f>
        <v>0</v>
      </c>
      <c r="D7" s="45" t="n">
        <f aca="false">SUM('Match Predictions'!T4:T107)</f>
        <v>14</v>
      </c>
      <c r="E7" s="46" t="n">
        <f aca="false">C7+D7</f>
        <v>14</v>
      </c>
      <c r="F7" s="45" t="n">
        <f aca="false">COUNTIF('Match Predictions'!T4:T107,8)</f>
        <v>1</v>
      </c>
      <c r="G7" s="45" t="n">
        <f aca="false">COUNTIF('Match Predictions'!T4:T107,"&gt;=3")</f>
        <v>3</v>
      </c>
      <c r="H7" s="47" t="n">
        <f aca="false">IF(SUMPRODUCT(('Match Predictions'!R4:R107&lt;&gt;"")*('Match Predictions'!$G$4:$G$107&lt;&gt;""))=0,"",G7/SUMPRODUCT(('Match Predictions'!R4:R107&lt;&gt;"")*('Match Predictions'!$G$4:$G$107&lt;&gt;"")))</f>
        <v>0.75</v>
      </c>
      <c r="I7" s="48" t="str">
        <f aca="false">'Tournament Picks'!B12</f>
        <v>Brazil</v>
      </c>
    </row>
    <row r="8" customFormat="false" ht="15" hidden="false" customHeight="true" outlineLevel="0" collapsed="false">
      <c r="A8" s="41" t="n">
        <f aca="false">RANK(E8,$E$4:$E$12)</f>
        <v>1</v>
      </c>
      <c r="B8" s="34" t="str">
        <f aca="false">'Match Predictions'!U2</f>
        <v>Nonna</v>
      </c>
      <c r="C8" s="36" t="n">
        <f aca="false">'Tournament Picks'!K13</f>
        <v>0</v>
      </c>
      <c r="D8" s="36" t="n">
        <f aca="false">SUM('Match Predictions'!W4:W107)</f>
        <v>30</v>
      </c>
      <c r="E8" s="42" t="n">
        <f aca="false">C8+D8</f>
        <v>30</v>
      </c>
      <c r="F8" s="36" t="n">
        <f aca="false">COUNTIF('Match Predictions'!W4:W107,8)</f>
        <v>3</v>
      </c>
      <c r="G8" s="36" t="n">
        <f aca="false">COUNTIF('Match Predictions'!W4:W107,"&gt;=3")</f>
        <v>5</v>
      </c>
      <c r="H8" s="43" t="n">
        <f aca="false">IF(SUMPRODUCT(('Match Predictions'!U4:U107&lt;&gt;"")*('Match Predictions'!$G$4:$G$107&lt;&gt;""))=0,"",G8/SUMPRODUCT(('Match Predictions'!U4:U107&lt;&gt;"")*('Match Predictions'!$G$4:$G$107&lt;&gt;"")))</f>
        <v>0.833333333333333</v>
      </c>
      <c r="I8" s="13" t="n">
        <f aca="false">'Tournament Picks'!B13</f>
        <v>0</v>
      </c>
    </row>
    <row r="9" customFormat="false" ht="15" hidden="false" customHeight="true" outlineLevel="0" collapsed="false">
      <c r="A9" s="44" t="n">
        <f aca="false">RANK(E9,$E$4:$E$12)</f>
        <v>9</v>
      </c>
      <c r="B9" s="30" t="str">
        <f aca="false">'Match Predictions'!X2</f>
        <v>Boompa</v>
      </c>
      <c r="C9" s="45" t="n">
        <f aca="false">'Tournament Picks'!K14</f>
        <v>0</v>
      </c>
      <c r="D9" s="45" t="n">
        <f aca="false">SUM('Match Predictions'!Z4:Z107)</f>
        <v>0</v>
      </c>
      <c r="E9" s="46" t="n">
        <f aca="false">C9+D9</f>
        <v>0</v>
      </c>
      <c r="F9" s="45" t="n">
        <f aca="false">COUNTIF('Match Predictions'!Z4:Z107,8)</f>
        <v>0</v>
      </c>
      <c r="G9" s="45" t="n">
        <f aca="false">COUNTIF('Match Predictions'!Z4:Z107,"&gt;=3")</f>
        <v>0</v>
      </c>
      <c r="H9" s="47" t="n">
        <f aca="false">IF(SUMPRODUCT(('Match Predictions'!X4:X107&lt;&gt;"")*('Match Predictions'!$G$4:$G$107&lt;&gt;""))=0,"",G9/SUMPRODUCT(('Match Predictions'!X4:X107&lt;&gt;"")*('Match Predictions'!$G$4:$G$107&lt;&gt;"")))</f>
        <v>0</v>
      </c>
      <c r="I9" s="48" t="str">
        <f aca="false">'Tournament Picks'!B14</f>
        <v>France</v>
      </c>
    </row>
    <row r="10" customFormat="false" ht="15" hidden="false" customHeight="true" outlineLevel="0" collapsed="false">
      <c r="A10" s="41" t="n">
        <f aca="false">RANK(E10,$E$4:$E$12)</f>
        <v>2</v>
      </c>
      <c r="B10" s="34" t="str">
        <f aca="false">'Match Predictions'!AA2</f>
        <v>Xavier</v>
      </c>
      <c r="C10" s="36" t="n">
        <f aca="false">'Tournament Picks'!K15</f>
        <v>0</v>
      </c>
      <c r="D10" s="36" t="n">
        <f aca="false">SUM('Match Predictions'!AC4:AC107)</f>
        <v>27</v>
      </c>
      <c r="E10" s="42" t="n">
        <f aca="false">C10+D10</f>
        <v>27</v>
      </c>
      <c r="F10" s="36" t="n">
        <f aca="false">COUNTIF('Match Predictions'!AC4:AC107,8)</f>
        <v>3</v>
      </c>
      <c r="G10" s="36" t="n">
        <f aca="false">COUNTIF('Match Predictions'!AC4:AC107,"&gt;=3")</f>
        <v>4</v>
      </c>
      <c r="H10" s="43" t="n">
        <f aca="false">IF(SUMPRODUCT(('Match Predictions'!AA4:AA107&lt;&gt;"")*('Match Predictions'!$G$4:$G$107&lt;&gt;""))=0,"",G10/SUMPRODUCT(('Match Predictions'!AA4:AA107&lt;&gt;"")*('Match Predictions'!$G$4:$G$107&lt;&gt;"")))</f>
        <v>1</v>
      </c>
      <c r="I10" s="13" t="n">
        <f aca="false">'Tournament Picks'!B15</f>
        <v>0</v>
      </c>
    </row>
    <row r="11" customFormat="false" ht="15" hidden="false" customHeight="true" outlineLevel="0" collapsed="false">
      <c r="A11" s="44" t="n">
        <f aca="false">RANK(E11,$E$4:$E$12)</f>
        <v>7</v>
      </c>
      <c r="B11" s="30" t="str">
        <f aca="false">'Match Predictions'!AD2</f>
        <v>Autumn</v>
      </c>
      <c r="C11" s="45" t="n">
        <f aca="false">'Tournament Picks'!K16</f>
        <v>0</v>
      </c>
      <c r="D11" s="45" t="n">
        <f aca="false">SUM('Match Predictions'!AF4:AF107)</f>
        <v>8</v>
      </c>
      <c r="E11" s="46" t="n">
        <f aca="false">C11+D11</f>
        <v>8</v>
      </c>
      <c r="F11" s="45" t="n">
        <f aca="false">COUNTIF('Match Predictions'!AF4:AF107,8)</f>
        <v>1</v>
      </c>
      <c r="G11" s="45" t="n">
        <f aca="false">COUNTIF('Match Predictions'!AF4:AF107,"&gt;=3")</f>
        <v>1</v>
      </c>
      <c r="H11" s="47" t="n">
        <f aca="false">IF(SUMPRODUCT(('Match Predictions'!AD4:AD107&lt;&gt;"")*('Match Predictions'!$G$4:$G$107&lt;&gt;""))=0,"",G11/SUMPRODUCT(('Match Predictions'!AD4:AD107&lt;&gt;"")*('Match Predictions'!$G$4:$G$107&lt;&gt;"")))</f>
        <v>0.25</v>
      </c>
      <c r="I11" s="48" t="n">
        <f aca="false">'Tournament Picks'!B16</f>
        <v>0</v>
      </c>
    </row>
    <row r="12" customFormat="false" ht="15" hidden="false" customHeight="true" outlineLevel="0" collapsed="false">
      <c r="A12" s="44" t="n">
        <f aca="false">RANK(E12,$E$4:$E$12)</f>
        <v>8</v>
      </c>
      <c r="B12" s="30" t="str">
        <f aca="false">'Match Predictions'!AG2</f>
        <v>River</v>
      </c>
      <c r="C12" s="45" t="n">
        <f aca="false">'Tournament Picks'!K17</f>
        <v>0</v>
      </c>
      <c r="D12" s="45" t="n">
        <f aca="false">SUM('Match Predictions'!AI4:AI107)</f>
        <v>6</v>
      </c>
      <c r="E12" s="46" t="n">
        <f aca="false">C12+D12</f>
        <v>6</v>
      </c>
      <c r="F12" s="45" t="n">
        <f aca="false">COUNTIF('Match Predictions'!AI4:AI107,8)</f>
        <v>0</v>
      </c>
      <c r="G12" s="45" t="n">
        <f aca="false">COUNTIF('Match Predictions'!AI4:AI107,"&gt;=3")</f>
        <v>2</v>
      </c>
      <c r="H12" s="47" t="n">
        <f aca="false">IF(SUMPRODUCT(('Match Predictions'!AG4:AG107&lt;&gt;"")*('Match Predictions'!$G$4:$G$107&lt;&gt;""))=0,"",G12/SUMPRODUCT(('Match Predictions'!AG4:AG107&lt;&gt;"")*('Match Predictions'!$G$4:$G$107&lt;&gt;"")))</f>
        <v>0.5</v>
      </c>
      <c r="I12" s="48" t="n">
        <f aca="false">'Tournament Picks'!B17</f>
        <v>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2026-06-11T00:34:28Z</dcterms:created>
  <dc:creator>openpyxl</dc:creator>
  <dc:description/>
  <dc:language>en-US</dc:language>
  <cp:lastModifiedBy>Marco Bartoloni</cp:lastModifiedBy>
  <dcterms:modified xsi:type="dcterms:W3CDTF">2026-07-03T16:20:02Z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